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37AB916A-E0BF-44B0-A8E8-8D978C21E203}" xr6:coauthVersionLast="47" xr6:coauthVersionMax="47" xr10:uidLastSave="{00000000-0000-0000-0000-000000000000}"/>
  <bookViews>
    <workbookView xWindow="28680" yWindow="1650" windowWidth="29040" windowHeight="15720" xr2:uid="{2C407BA7-61C6-4E8C-9750-0386996BC766}"/>
  </bookViews>
  <sheets>
    <sheet name="2월" sheetId="6" r:id="rId1"/>
    <sheet name="3월" sheetId="11" r:id="rId2"/>
    <sheet name="4월" sheetId="10" r:id="rId3"/>
    <sheet name="5월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2" i="11"/>
  <c r="C12" i="12"/>
  <c r="C12" i="10"/>
  <c r="F10" i="12"/>
  <c r="G7" i="12"/>
  <c r="F7" i="12"/>
  <c r="G5" i="12"/>
  <c r="G4" i="12"/>
  <c r="G7" i="11"/>
  <c r="F7" i="11"/>
  <c r="G5" i="11"/>
  <c r="G4" i="11"/>
  <c r="G7" i="10"/>
  <c r="F7" i="10"/>
  <c r="G5" i="10"/>
  <c r="G4" i="10"/>
  <c r="G5" i="6"/>
  <c r="G7" i="6"/>
  <c r="F7" i="6"/>
  <c r="G4" i="6"/>
</calcChain>
</file>

<file path=xl/sharedStrings.xml><?xml version="1.0" encoding="utf-8"?>
<sst xmlns="http://schemas.openxmlformats.org/spreadsheetml/2006/main" count="92" uniqueCount="29">
  <si>
    <t>NO.</t>
    <phoneticPr fontId="2" type="noConversion"/>
  </si>
  <si>
    <t>특이사항</t>
    <phoneticPr fontId="2" type="noConversion"/>
  </si>
  <si>
    <t>비고</t>
    <phoneticPr fontId="2" type="noConversion"/>
  </si>
  <si>
    <t>합계</t>
    <phoneticPr fontId="2" type="noConversion"/>
  </si>
  <si>
    <t>업체명</t>
    <phoneticPr fontId="2" type="noConversion"/>
  </si>
  <si>
    <t>ex)쿠폰할인금액, 판매수수료</t>
    <phoneticPr fontId="2" type="noConversion"/>
  </si>
  <si>
    <t>판매장려금</t>
    <phoneticPr fontId="2" type="noConversion"/>
  </si>
  <si>
    <t>판매수수료
(매출차감x)</t>
    <phoneticPr fontId="2" type="noConversion"/>
  </si>
  <si>
    <t>광고/행사비</t>
    <phoneticPr fontId="2" type="noConversion"/>
  </si>
  <si>
    <t>매출 (직접)차감금액</t>
    <phoneticPr fontId="2" type="noConversion"/>
  </si>
  <si>
    <t>기타 비용</t>
    <phoneticPr fontId="2" type="noConversion"/>
  </si>
  <si>
    <r>
      <t>* 202</t>
    </r>
    <r>
      <rPr>
        <b/>
        <sz val="10"/>
        <color theme="1"/>
        <rFont val="맑은 고딕"/>
        <family val="3"/>
        <charset val="129"/>
      </rPr>
      <t>6</t>
    </r>
    <r>
      <rPr>
        <b/>
        <sz val="10"/>
        <color theme="1"/>
        <rFont val="맑은고딕"/>
        <family val="3"/>
        <charset val="129"/>
      </rPr>
      <t xml:space="preserve">년 </t>
    </r>
    <r>
      <rPr>
        <b/>
        <sz val="10"/>
        <color theme="1"/>
        <rFont val="맑은 고딕"/>
        <family val="3"/>
        <charset val="129"/>
      </rPr>
      <t>2</t>
    </r>
    <r>
      <rPr>
        <b/>
        <sz val="10"/>
        <color theme="1"/>
        <rFont val="맑은고딕"/>
        <family val="3"/>
        <charset val="129"/>
      </rPr>
      <t>월 예상 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</si>
  <si>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r>
      <t>2</t>
    </r>
    <r>
      <rPr>
        <sz val="10"/>
        <color theme="1"/>
        <rFont val="맑은 고딕"/>
        <family val="3"/>
        <charset val="129"/>
      </rPr>
      <t>6.02</t>
    </r>
    <r>
      <rPr>
        <sz val="10"/>
        <color theme="1"/>
        <rFont val="맑은고딕"/>
        <family val="3"/>
        <charset val="129"/>
      </rPr>
      <t xml:space="preserve"> 예상매출</t>
    </r>
    <phoneticPr fontId="2" type="noConversion"/>
  </si>
  <si>
    <t>29CM</t>
    <phoneticPr fontId="2" type="noConversion"/>
  </si>
  <si>
    <t>매출의 20%</t>
  </si>
  <si>
    <t>채널별 수수료</t>
  </si>
  <si>
    <t>오늘의집</t>
    <phoneticPr fontId="2" type="noConversion"/>
  </si>
  <si>
    <t>올리브영</t>
    <phoneticPr fontId="2" type="noConversion"/>
  </si>
  <si>
    <t>자사몰</t>
    <phoneticPr fontId="2" type="noConversion"/>
  </si>
  <si>
    <t>공구</t>
    <phoneticPr fontId="2" type="noConversion"/>
  </si>
  <si>
    <t>팝업</t>
    <phoneticPr fontId="2" type="noConversion"/>
  </si>
  <si>
    <t>홈쇼핑</t>
    <phoneticPr fontId="2" type="noConversion"/>
  </si>
  <si>
    <r>
      <t>2</t>
    </r>
    <r>
      <rPr>
        <sz val="10"/>
        <color theme="1"/>
        <rFont val="맑은고딕"/>
        <family val="3"/>
      </rPr>
      <t>6.0</t>
    </r>
    <r>
      <rPr>
        <sz val="10"/>
        <color theme="1"/>
        <rFont val="맑은 고딕"/>
        <family val="3"/>
        <charset val="129"/>
      </rPr>
      <t>3</t>
    </r>
    <r>
      <rPr>
        <sz val="10"/>
        <color theme="1"/>
        <rFont val="맑은고딕"/>
        <family val="3"/>
        <charset val="129"/>
      </rPr>
      <t xml:space="preserve"> 예상매출</t>
    </r>
    <phoneticPr fontId="2" type="noConversion"/>
  </si>
  <si>
    <r>
      <t>* 202</t>
    </r>
    <r>
      <rPr>
        <b/>
        <sz val="10"/>
        <color theme="1"/>
        <rFont val="맑은 고딕"/>
        <family val="3"/>
        <charset val="129"/>
      </rPr>
      <t>6</t>
    </r>
    <r>
      <rPr>
        <b/>
        <sz val="10"/>
        <color theme="1"/>
        <rFont val="맑은고딕"/>
        <family val="3"/>
        <charset val="129"/>
      </rPr>
      <t xml:space="preserve">년 </t>
    </r>
    <r>
      <rPr>
        <b/>
        <sz val="10"/>
        <color theme="1"/>
        <rFont val="맑은 고딕"/>
        <family val="3"/>
        <charset val="129"/>
      </rPr>
      <t>3</t>
    </r>
    <r>
      <rPr>
        <b/>
        <sz val="10"/>
        <color theme="1"/>
        <rFont val="맑은고딕"/>
        <family val="3"/>
        <charset val="129"/>
      </rPr>
      <t>월 예상 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</si>
  <si>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r>
      <t>2</t>
    </r>
    <r>
      <rPr>
        <sz val="10"/>
        <color theme="1"/>
        <rFont val="맑은 고딕"/>
        <family val="3"/>
        <charset val="129"/>
      </rPr>
      <t>6.04</t>
    </r>
    <r>
      <rPr>
        <sz val="10"/>
        <color theme="1"/>
        <rFont val="맑은고딕"/>
        <family val="3"/>
        <charset val="129"/>
      </rPr>
      <t xml:space="preserve"> 예상매출</t>
    </r>
    <phoneticPr fontId="2" type="noConversion"/>
  </si>
  <si>
    <r>
      <t>* 202</t>
    </r>
    <r>
      <rPr>
        <b/>
        <sz val="10"/>
        <color theme="1"/>
        <rFont val="맑은 고딕"/>
        <family val="3"/>
        <charset val="129"/>
      </rPr>
      <t>6</t>
    </r>
    <r>
      <rPr>
        <b/>
        <sz val="10"/>
        <color theme="1"/>
        <rFont val="맑은고딕"/>
        <family val="3"/>
        <charset val="129"/>
      </rPr>
      <t xml:space="preserve">년 </t>
    </r>
    <r>
      <rPr>
        <b/>
        <sz val="10"/>
        <color theme="1"/>
        <rFont val="맑은 고딕"/>
        <family val="3"/>
        <charset val="129"/>
      </rPr>
      <t>4</t>
    </r>
    <r>
      <rPr>
        <b/>
        <sz val="10"/>
        <color theme="1"/>
        <rFont val="맑은고딕"/>
        <family val="3"/>
        <charset val="129"/>
      </rPr>
      <t>월 예상 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</si>
  <si>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r>
      <t>2</t>
    </r>
    <r>
      <rPr>
        <sz val="10"/>
        <color theme="1"/>
        <rFont val="맑은 고딕"/>
        <family val="3"/>
        <charset val="129"/>
      </rPr>
      <t>6.05</t>
    </r>
    <r>
      <rPr>
        <sz val="10"/>
        <color theme="1"/>
        <rFont val="맑은고딕"/>
        <family val="3"/>
        <charset val="129"/>
      </rPr>
      <t xml:space="preserve"> 예상매출</t>
    </r>
    <phoneticPr fontId="2" type="noConversion"/>
  </si>
  <si>
    <r>
      <t>* 202</t>
    </r>
    <r>
      <rPr>
        <b/>
        <sz val="10"/>
        <color theme="1"/>
        <rFont val="맑은 고딕"/>
        <family val="3"/>
        <charset val="129"/>
      </rPr>
      <t>6</t>
    </r>
    <r>
      <rPr>
        <b/>
        <sz val="10"/>
        <color theme="1"/>
        <rFont val="맑은고딕"/>
        <family val="3"/>
        <charset val="129"/>
      </rPr>
      <t xml:space="preserve">년 </t>
    </r>
    <r>
      <rPr>
        <b/>
        <sz val="10"/>
        <color theme="1"/>
        <rFont val="맑은 고딕"/>
        <family val="3"/>
        <charset val="129"/>
      </rPr>
      <t>5</t>
    </r>
    <r>
      <rPr>
        <b/>
        <sz val="10"/>
        <color theme="1"/>
        <rFont val="맑은고딕"/>
        <family val="3"/>
        <charset val="129"/>
      </rPr>
      <t>월 예상 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</si>
  <si>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t>카카오선물하기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</si>
</sst>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0.0%"/>
  </numFmts>
  <fonts count="15">
    <font>
      <sz val="12"/>
      <color theme="1"/>
      <name val="NanumGothicOTFLight"/>
      <family val="2"/>
      <charset val="129"/>
    </font>
    <font>
      <sz val="12"/>
      <color theme="1"/>
      <name val="NanumGothicOTFLight"/>
      <family val="2"/>
      <charset val="129"/>
    </font>
    <font>
      <sz val="8"/>
      <name val="NanumGothicOTFLight"/>
      <family val="2"/>
      <charset val="129"/>
    </font>
    <font>
      <sz val="10"/>
      <color rgb="FF000000"/>
      <name val="맑은 고딕"/>
      <family val="2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1"/>
      <name val="맑은고딕"/>
      <family val="3"/>
      <charset val="129"/>
    </font>
    <font>
      <sz val="10"/>
      <color theme="1"/>
      <name val="맑은고딕"/>
      <family val="3"/>
      <charset val="129"/>
    </font>
    <font>
      <sz val="10"/>
      <name val="맑은고딕"/>
      <family val="3"/>
      <charset val="129"/>
    </font>
    <font>
      <b/>
      <sz val="10"/>
      <color rgb="FFFF0000"/>
      <name val="맑은고딕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고딕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vertical="center" wrapText="1"/>
    </xf>
    <xf numFmtId="176" fontId="8" fillId="0" borderId="6" xfId="1" applyFont="1" applyFill="1" applyBorder="1">
      <alignment vertical="center"/>
    </xf>
    <xf numFmtId="176" fontId="8" fillId="0" borderId="6" xfId="1" applyFont="1" applyFill="1" applyBorder="1" applyAlignment="1">
      <alignment vertical="center" wrapText="1"/>
    </xf>
    <xf numFmtId="9" fontId="8" fillId="0" borderId="6" xfId="2" applyFont="1" applyFill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6" fontId="7" fillId="0" borderId="0" xfId="1" applyFont="1" applyFill="1" applyAlignment="1">
      <alignment horizontal="center" vertical="center"/>
    </xf>
    <xf numFmtId="176" fontId="7" fillId="0" borderId="6" xfId="1" applyFont="1" applyFill="1" applyBorder="1" applyAlignment="1">
      <alignment horizontal="center" vertical="center"/>
    </xf>
    <xf numFmtId="176" fontId="7" fillId="0" borderId="5" xfId="1" applyFont="1" applyFill="1" applyBorder="1" applyAlignment="1">
      <alignment horizontal="center" vertical="center"/>
    </xf>
    <xf numFmtId="176" fontId="7" fillId="0" borderId="5" xfId="1" applyFont="1" applyFill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/>
    </xf>
    <xf numFmtId="177" fontId="8" fillId="0" borderId="6" xfId="2" applyNumberFormat="1" applyFont="1" applyFill="1" applyBorder="1" applyAlignment="1">
      <alignment vertical="center" wrapText="1"/>
    </xf>
    <xf numFmtId="176" fontId="13" fillId="0" borderId="6" xfId="1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6" fontId="7" fillId="0" borderId="1" xfId="1" applyFont="1" applyFill="1" applyBorder="1" applyAlignment="1">
      <alignment horizontal="center" vertical="center"/>
    </xf>
    <xf numFmtId="176" fontId="7" fillId="0" borderId="5" xfId="1" applyFont="1" applyFill="1" applyBorder="1" applyAlignment="1">
      <alignment horizontal="center" vertical="center"/>
    </xf>
    <xf numFmtId="176" fontId="11" fillId="0" borderId="2" xfId="1" applyFont="1" applyFill="1" applyBorder="1" applyAlignment="1">
      <alignment horizontal="center" vertical="center"/>
    </xf>
    <xf numFmtId="176" fontId="7" fillId="0" borderId="3" xfId="1" applyFont="1" applyFill="1" applyBorder="1" applyAlignment="1">
      <alignment horizontal="center" vertical="center"/>
    </xf>
    <xf numFmtId="176" fontId="7" fillId="0" borderId="4" xfId="1" applyFont="1" applyFill="1" applyBorder="1" applyAlignment="1">
      <alignment horizontal="center" vertical="center"/>
    </xf>
  </cellXfs>
  <cellStyles count="7">
    <cellStyle name="백분율 2" xfId="2" xr:uid="{94BF86E0-D9B1-4C00-ABB6-1BFDE0E10674}"/>
    <cellStyle name="쉼표 [0]" xfId="1" builtinId="6"/>
    <cellStyle name="쉼표 [0] 2" xfId="4" xr:uid="{BBED89E5-9E05-4C05-819E-871767B97F10}"/>
    <cellStyle name="쉼표 [0] 4 2 2" xfId="6" xr:uid="{218EB475-5DF5-4AE5-900F-C4B2D1A2A88B}"/>
    <cellStyle name="쉼표 [0] 5" xfId="5" xr:uid="{8A6A6978-ABC4-48F8-B14D-DACA9DA1FE74}"/>
    <cellStyle name="표준" xfId="0" builtinId="0"/>
    <cellStyle name="표준 2" xfId="3" xr:uid="{4F43D727-94D2-4D0E-BDFF-C8BD22EC2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1C07-1F12-4066-A5B5-8C43BFE3C5E7}">
  <sheetPr>
    <pageSetUpPr fitToPage="1"/>
  </sheetPr>
  <dimension ref="A1:I14"/>
  <sheetViews>
    <sheetView tabSelected="1" view="pageBreakPreview" zoomScale="92" zoomScaleNormal="100" zoomScaleSheetLayoutView="100" workbookViewId="0">
      <selection activeCell="H10" sqref="H10"/>
    </sheetView>
  </sheetViews>
  <sheetFormatPr defaultColWidth="8.84375" defaultRowHeight="26.25" customHeight="1"/>
  <cols>
    <col min="1" max="1" width="5.69140625" style="2" customWidth="1"/>
    <col min="2" max="2" width="20.07421875" style="13" customWidth="1"/>
    <col min="3" max="3" width="22.69140625" style="14" customWidth="1"/>
    <col min="4" max="4" width="27" style="14" customWidth="1"/>
    <col min="5" max="6" width="13.84375" style="14" customWidth="1"/>
    <col min="7" max="7" width="12.84375" style="14" customWidth="1"/>
    <col min="8" max="8" width="26.3046875" style="2" customWidth="1"/>
    <col min="9" max="9" width="42.69140625" style="3" customWidth="1"/>
    <col min="10" max="11" width="10.765625" style="3" bestFit="1" customWidth="1"/>
    <col min="12" max="16384" width="8.84375" style="3"/>
  </cols>
  <sheetData>
    <row r="1" spans="1:9" ht="26.25" customHeight="1">
      <c r="A1" s="1" t="s">
        <v>11</v>
      </c>
      <c r="D1" s="13"/>
      <c r="E1" s="13"/>
      <c r="F1" s="13" t="s">
        <v>14</v>
      </c>
      <c r="G1" s="13" t="s">
        <v>15</v>
      </c>
      <c r="H1" s="3"/>
    </row>
    <row r="2" spans="1:9" ht="26.25" customHeight="1">
      <c r="A2" s="24" t="s">
        <v>0</v>
      </c>
      <c r="B2" s="27" t="s">
        <v>4</v>
      </c>
      <c r="C2" s="29" t="s">
        <v>12</v>
      </c>
      <c r="D2" s="15" t="s">
        <v>9</v>
      </c>
      <c r="E2" s="31" t="s">
        <v>10</v>
      </c>
      <c r="F2" s="32"/>
      <c r="G2" s="33"/>
      <c r="H2" s="24" t="s">
        <v>1</v>
      </c>
      <c r="I2" s="24" t="s">
        <v>2</v>
      </c>
    </row>
    <row r="3" spans="1:9" ht="26.25" customHeight="1">
      <c r="A3" s="25"/>
      <c r="B3" s="28"/>
      <c r="C3" s="30"/>
      <c r="D3" s="15" t="s">
        <v>5</v>
      </c>
      <c r="E3" s="16" t="s">
        <v>6</v>
      </c>
      <c r="F3" s="16" t="s">
        <v>8</v>
      </c>
      <c r="G3" s="17" t="s">
        <v>7</v>
      </c>
      <c r="H3" s="25"/>
      <c r="I3" s="25"/>
    </row>
    <row r="4" spans="1:9" ht="26.25" customHeight="1">
      <c r="A4" s="4">
        <v>1</v>
      </c>
      <c r="B4" s="18" t="s">
        <v>13</v>
      </c>
      <c r="C4" s="7">
        <v>6076936</v>
      </c>
      <c r="D4" s="8"/>
      <c r="E4" s="19"/>
      <c r="F4" s="20"/>
      <c r="G4" s="20">
        <f>C4*0.25</f>
        <v>1519234</v>
      </c>
      <c r="H4" s="5"/>
      <c r="I4" s="6"/>
    </row>
    <row r="5" spans="1:9" ht="26.25" customHeight="1">
      <c r="A5" s="4">
        <v>2</v>
      </c>
      <c r="B5" s="18" t="s">
        <v>16</v>
      </c>
      <c r="C5" s="7">
        <v>5880077</v>
      </c>
      <c r="D5" s="8"/>
      <c r="E5" s="9"/>
      <c r="F5" s="20"/>
      <c r="G5" s="8">
        <f>C5*0.16</f>
        <v>940812.32000000007</v>
      </c>
      <c r="H5" s="5"/>
      <c r="I5" s="6"/>
    </row>
    <row r="6" spans="1:9" ht="26.25" customHeight="1">
      <c r="A6" s="4">
        <v>3</v>
      </c>
      <c r="B6" s="18" t="s">
        <v>17</v>
      </c>
      <c r="C6" s="7">
        <v>12551162</v>
      </c>
      <c r="D6" s="8"/>
      <c r="E6" s="9"/>
      <c r="F6" s="20"/>
      <c r="G6" s="8"/>
      <c r="H6" s="12"/>
      <c r="I6" s="6"/>
    </row>
    <row r="7" spans="1:9" ht="26.25" customHeight="1">
      <c r="A7" s="4">
        <v>4</v>
      </c>
      <c r="B7" s="18" t="s">
        <v>18</v>
      </c>
      <c r="C7" s="7">
        <v>95522406</v>
      </c>
      <c r="D7" s="8"/>
      <c r="E7" s="9"/>
      <c r="F7" s="20">
        <f t="shared" ref="F5:F10" si="0">C7*0.2</f>
        <v>19104481.199999999</v>
      </c>
      <c r="G7" s="8">
        <f>C7*0.033</f>
        <v>3152239.398</v>
      </c>
      <c r="H7" s="5"/>
      <c r="I7" s="6"/>
    </row>
    <row r="8" spans="1:9" ht="26.25" customHeight="1">
      <c r="A8" s="4">
        <v>5</v>
      </c>
      <c r="B8" s="22" t="s">
        <v>19</v>
      </c>
      <c r="C8" s="7">
        <v>149395964</v>
      </c>
      <c r="D8" s="8"/>
      <c r="E8" s="9"/>
      <c r="F8" s="20"/>
      <c r="G8" s="8"/>
      <c r="H8" s="5"/>
      <c r="I8" s="6"/>
    </row>
    <row r="9" spans="1:9" ht="26.25" customHeight="1">
      <c r="A9" s="4">
        <v>6</v>
      </c>
      <c r="B9" s="22" t="s">
        <v>20</v>
      </c>
      <c r="C9" s="7">
        <v>0</v>
      </c>
      <c r="D9" s="8"/>
      <c r="E9" s="9"/>
      <c r="F9" s="20"/>
      <c r="G9" s="8"/>
      <c r="H9" s="5"/>
      <c r="I9" s="6"/>
    </row>
    <row r="10" spans="1:9" ht="26.25" customHeight="1">
      <c r="A10" s="4">
        <v>7</v>
      </c>
      <c r="B10" s="22" t="s">
        <v>21</v>
      </c>
      <c r="C10" s="7">
        <v>0</v>
      </c>
      <c r="D10" s="8"/>
      <c r="E10" s="9"/>
      <c r="F10" s="20"/>
      <c r="G10" s="8"/>
      <c r="H10" s="5"/>
      <c r="I10" s="6"/>
    </row>
    <row r="11" spans="1:9" ht="26.25" customHeight="1">
      <c r="A11" s="4">
        <v>8</v>
      </c>
      <c r="B11" s="22" t="s">
        <v>28</v>
      </c>
      <c r="C11" s="8">
        <v>2205000</v>
      </c>
      <c r="D11" s="8"/>
      <c r="E11" s="9"/>
      <c r="F11" s="20"/>
      <c r="G11" s="8"/>
      <c r="H11" s="5"/>
      <c r="I11" s="6"/>
    </row>
    <row r="12" spans="1:9" ht="26.25" customHeight="1">
      <c r="A12" s="26" t="s">
        <v>3</v>
      </c>
      <c r="B12" s="26"/>
      <c r="C12" s="15">
        <f>SUM(C4:C11)</f>
        <v>271631545</v>
      </c>
      <c r="D12" s="15"/>
      <c r="E12" s="15"/>
      <c r="F12" s="15"/>
      <c r="G12" s="15"/>
      <c r="H12" s="4"/>
      <c r="I12" s="4"/>
    </row>
    <row r="13" spans="1:9" s="2" customFormat="1" ht="26.25" customHeight="1">
      <c r="B13" s="13"/>
      <c r="C13" s="14"/>
      <c r="D13" s="14"/>
      <c r="E13" s="14"/>
      <c r="F13" s="14"/>
      <c r="G13" s="14"/>
      <c r="I13" s="3"/>
    </row>
    <row r="14" spans="1:9" s="2" customFormat="1" ht="26.25" customHeight="1">
      <c r="B14" s="13"/>
      <c r="C14" s="14"/>
      <c r="D14" s="14"/>
      <c r="E14" s="14"/>
      <c r="F14" s="14"/>
      <c r="G14" s="14"/>
      <c r="I14" s="3"/>
    </row>
  </sheetData>
  <mergeCells count="7">
    <mergeCell ref="H2:H3"/>
    <mergeCell ref="I2:I3"/>
    <mergeCell ref="A12:B12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C6E4-D237-49B6-8549-63B738093E4D}">
  <sheetPr>
    <pageSetUpPr fitToPage="1"/>
  </sheetPr>
  <dimension ref="A1:I14"/>
  <sheetViews>
    <sheetView view="pageBreakPreview" zoomScale="92" zoomScaleNormal="100" zoomScaleSheetLayoutView="100" workbookViewId="0">
      <selection activeCell="F9" sqref="F9:F11"/>
    </sheetView>
  </sheetViews>
  <sheetFormatPr defaultColWidth="8.84375" defaultRowHeight="26.25" customHeight="1"/>
  <cols>
    <col min="1" max="1" width="5.69140625" style="2" customWidth="1"/>
    <col min="2" max="2" width="20.07421875" style="13" customWidth="1"/>
    <col min="3" max="3" width="22.69140625" style="14" customWidth="1"/>
    <col min="4" max="4" width="27" style="14" customWidth="1"/>
    <col min="5" max="6" width="13.84375" style="14" customWidth="1"/>
    <col min="7" max="7" width="12.84375" style="14" customWidth="1"/>
    <col min="8" max="8" width="26.3046875" style="13" customWidth="1"/>
    <col min="9" max="9" width="42.69140625" style="3" customWidth="1"/>
    <col min="10" max="11" width="10.765625" style="3" bestFit="1" customWidth="1"/>
    <col min="12" max="16384" width="8.84375" style="3"/>
  </cols>
  <sheetData>
    <row r="1" spans="1:9" ht="26.25" customHeight="1">
      <c r="A1" s="1" t="s">
        <v>23</v>
      </c>
      <c r="D1" s="13"/>
      <c r="E1" s="13"/>
      <c r="F1" s="13" t="s">
        <v>14</v>
      </c>
      <c r="G1" s="13" t="s">
        <v>15</v>
      </c>
      <c r="H1" s="11"/>
    </row>
    <row r="2" spans="1:9" ht="26.25" customHeight="1">
      <c r="A2" s="24" t="s">
        <v>0</v>
      </c>
      <c r="B2" s="27" t="s">
        <v>4</v>
      </c>
      <c r="C2" s="29" t="s">
        <v>22</v>
      </c>
      <c r="D2" s="15" t="s">
        <v>9</v>
      </c>
      <c r="E2" s="31" t="s">
        <v>10</v>
      </c>
      <c r="F2" s="32"/>
      <c r="G2" s="33"/>
      <c r="H2" s="27" t="s">
        <v>1</v>
      </c>
      <c r="I2" s="24" t="s">
        <v>2</v>
      </c>
    </row>
    <row r="3" spans="1:9" ht="26.25" customHeight="1">
      <c r="A3" s="25"/>
      <c r="B3" s="28"/>
      <c r="C3" s="30"/>
      <c r="D3" s="15" t="s">
        <v>5</v>
      </c>
      <c r="E3" s="16" t="s">
        <v>6</v>
      </c>
      <c r="F3" s="16" t="s">
        <v>8</v>
      </c>
      <c r="G3" s="17" t="s">
        <v>7</v>
      </c>
      <c r="H3" s="28"/>
      <c r="I3" s="25"/>
    </row>
    <row r="4" spans="1:9" ht="26.25" customHeight="1">
      <c r="A4" s="4">
        <v>1</v>
      </c>
      <c r="B4" s="18" t="s">
        <v>13</v>
      </c>
      <c r="C4" s="7">
        <v>13586436</v>
      </c>
      <c r="D4" s="8"/>
      <c r="E4" s="19"/>
      <c r="F4" s="20"/>
      <c r="G4" s="20">
        <f>C4*0.25</f>
        <v>3396609</v>
      </c>
      <c r="H4" s="10"/>
      <c r="I4" s="6"/>
    </row>
    <row r="5" spans="1:9" ht="26.25" customHeight="1">
      <c r="A5" s="4">
        <v>2</v>
      </c>
      <c r="B5" s="18" t="s">
        <v>16</v>
      </c>
      <c r="C5" s="7">
        <v>11955814</v>
      </c>
      <c r="D5" s="8"/>
      <c r="E5" s="9"/>
      <c r="F5" s="20"/>
      <c r="G5" s="8">
        <f>C5*0.16</f>
        <v>1912930.24</v>
      </c>
      <c r="H5" s="10"/>
      <c r="I5" s="6"/>
    </row>
    <row r="6" spans="1:9" ht="26.25" customHeight="1">
      <c r="A6" s="4">
        <v>3</v>
      </c>
      <c r="B6" s="18" t="s">
        <v>17</v>
      </c>
      <c r="C6" s="7">
        <v>21276003</v>
      </c>
      <c r="D6" s="8"/>
      <c r="E6" s="9"/>
      <c r="F6" s="20"/>
      <c r="G6" s="8"/>
      <c r="H6" s="23"/>
      <c r="I6" s="6"/>
    </row>
    <row r="7" spans="1:9" ht="26.25" customHeight="1">
      <c r="A7" s="4">
        <v>4</v>
      </c>
      <c r="B7" s="18" t="s">
        <v>18</v>
      </c>
      <c r="C7" s="7">
        <v>101771400</v>
      </c>
      <c r="D7" s="8"/>
      <c r="E7" s="9"/>
      <c r="F7" s="20">
        <f t="shared" ref="F5:F10" si="0">C7*0.2</f>
        <v>20354280</v>
      </c>
      <c r="G7" s="8">
        <f>C7*0.033</f>
        <v>3358456.2</v>
      </c>
      <c r="H7" s="10"/>
      <c r="I7" s="6"/>
    </row>
    <row r="8" spans="1:9" ht="26.25" customHeight="1">
      <c r="A8" s="4">
        <v>5</v>
      </c>
      <c r="B8" s="22" t="s">
        <v>19</v>
      </c>
      <c r="C8" s="7">
        <v>68513727</v>
      </c>
      <c r="D8" s="8"/>
      <c r="E8" s="9"/>
      <c r="F8" s="20"/>
      <c r="G8" s="8"/>
      <c r="H8" s="10"/>
      <c r="I8" s="6"/>
    </row>
    <row r="9" spans="1:9" ht="26.25" customHeight="1">
      <c r="A9" s="4">
        <v>6</v>
      </c>
      <c r="B9" s="22" t="s">
        <v>20</v>
      </c>
      <c r="C9" s="7">
        <v>0</v>
      </c>
      <c r="D9" s="8"/>
      <c r="E9" s="9"/>
      <c r="F9" s="20"/>
      <c r="G9" s="8"/>
      <c r="H9" s="10"/>
      <c r="I9" s="6"/>
    </row>
    <row r="10" spans="1:9" ht="26.25" customHeight="1">
      <c r="A10" s="4">
        <v>7</v>
      </c>
      <c r="B10" s="22" t="s">
        <v>21</v>
      </c>
      <c r="C10" s="7">
        <v>0</v>
      </c>
      <c r="D10" s="8"/>
      <c r="E10" s="9"/>
      <c r="F10" s="20"/>
      <c r="G10" s="8"/>
      <c r="H10" s="10"/>
      <c r="I10" s="6"/>
    </row>
    <row r="11" spans="1:9" ht="26.25" customHeight="1">
      <c r="A11" s="4">
        <v>8</v>
      </c>
      <c r="B11" s="22" t="s">
        <v>28</v>
      </c>
      <c r="C11" s="8">
        <v>2940000</v>
      </c>
      <c r="D11" s="8"/>
      <c r="E11" s="9"/>
      <c r="F11" s="20"/>
      <c r="G11" s="8"/>
      <c r="H11" s="10"/>
      <c r="I11" s="6"/>
    </row>
    <row r="12" spans="1:9" ht="26.25" customHeight="1">
      <c r="A12" s="26" t="s">
        <v>3</v>
      </c>
      <c r="B12" s="26"/>
      <c r="C12" s="15">
        <f>SUM(C4:C11)</f>
        <v>220043380</v>
      </c>
      <c r="D12" s="15"/>
      <c r="E12" s="15"/>
      <c r="F12" s="15"/>
      <c r="G12" s="15"/>
      <c r="H12" s="21"/>
      <c r="I12" s="4"/>
    </row>
    <row r="13" spans="1:9" s="2" customFormat="1" ht="26.25" customHeight="1">
      <c r="B13" s="13"/>
      <c r="C13" s="14"/>
      <c r="D13" s="14"/>
      <c r="E13" s="14"/>
      <c r="F13" s="14"/>
      <c r="G13" s="14"/>
      <c r="H13" s="13"/>
      <c r="I13" s="3"/>
    </row>
    <row r="14" spans="1:9" s="2" customFormat="1" ht="26.25" customHeight="1">
      <c r="B14" s="13"/>
      <c r="C14" s="14"/>
      <c r="D14" s="14"/>
      <c r="E14" s="14"/>
      <c r="F14" s="14"/>
      <c r="G14" s="14"/>
      <c r="H14" s="13"/>
      <c r="I14" s="3"/>
    </row>
  </sheetData>
  <mergeCells count="7">
    <mergeCell ref="H2:H3"/>
    <mergeCell ref="I2:I3"/>
    <mergeCell ref="A12:B12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BD5F-4411-41E7-AD56-AEFE218092A2}">
  <sheetPr>
    <pageSetUpPr fitToPage="1"/>
  </sheetPr>
  <dimension ref="A1:I14"/>
  <sheetViews>
    <sheetView view="pageBreakPreview" zoomScale="92" zoomScaleNormal="100" zoomScaleSheetLayoutView="100" workbookViewId="0">
      <selection activeCell="F9" sqref="F9:F10"/>
    </sheetView>
  </sheetViews>
  <sheetFormatPr defaultColWidth="8.84375" defaultRowHeight="26.25" customHeight="1"/>
  <cols>
    <col min="1" max="1" width="5.69140625" style="2" customWidth="1"/>
    <col min="2" max="2" width="20.07421875" style="13" customWidth="1"/>
    <col min="3" max="3" width="22.69140625" style="14" customWidth="1"/>
    <col min="4" max="4" width="27" style="14" customWidth="1"/>
    <col min="5" max="6" width="13.84375" style="14" customWidth="1"/>
    <col min="7" max="7" width="12.84375" style="14" customWidth="1"/>
    <col min="8" max="8" width="26.3046875" style="13" customWidth="1"/>
    <col min="9" max="9" width="42.69140625" style="3" customWidth="1"/>
    <col min="10" max="11" width="10.765625" style="3" bestFit="1" customWidth="1"/>
    <col min="12" max="16384" width="8.84375" style="3"/>
  </cols>
  <sheetData>
    <row r="1" spans="1:9" ht="26.25" customHeight="1">
      <c r="A1" s="1" t="s">
        <v>25</v>
      </c>
      <c r="D1" s="13"/>
      <c r="E1" s="13"/>
      <c r="F1" s="13" t="s">
        <v>14</v>
      </c>
      <c r="G1" s="13" t="s">
        <v>15</v>
      </c>
      <c r="H1" s="11"/>
    </row>
    <row r="2" spans="1:9" ht="26.25" customHeight="1">
      <c r="A2" s="24" t="s">
        <v>0</v>
      </c>
      <c r="B2" s="27" t="s">
        <v>4</v>
      </c>
      <c r="C2" s="29" t="s">
        <v>24</v>
      </c>
      <c r="D2" s="15" t="s">
        <v>9</v>
      </c>
      <c r="E2" s="31" t="s">
        <v>10</v>
      </c>
      <c r="F2" s="32"/>
      <c r="G2" s="33"/>
      <c r="H2" s="27" t="s">
        <v>1</v>
      </c>
      <c r="I2" s="24" t="s">
        <v>2</v>
      </c>
    </row>
    <row r="3" spans="1:9" ht="26.25" customHeight="1">
      <c r="A3" s="25"/>
      <c r="B3" s="28"/>
      <c r="C3" s="30"/>
      <c r="D3" s="15" t="s">
        <v>5</v>
      </c>
      <c r="E3" s="16" t="s">
        <v>6</v>
      </c>
      <c r="F3" s="16" t="s">
        <v>8</v>
      </c>
      <c r="G3" s="17" t="s">
        <v>7</v>
      </c>
      <c r="H3" s="28"/>
      <c r="I3" s="25"/>
    </row>
    <row r="4" spans="1:9" ht="26.25" customHeight="1">
      <c r="A4" s="4">
        <v>1</v>
      </c>
      <c r="B4" s="18" t="s">
        <v>13</v>
      </c>
      <c r="C4" s="7">
        <v>2584102</v>
      </c>
      <c r="D4" s="8"/>
      <c r="E4" s="19"/>
      <c r="F4" s="20"/>
      <c r="G4" s="20">
        <f>C4*0.25</f>
        <v>646025.5</v>
      </c>
      <c r="H4" s="10"/>
      <c r="I4" s="6"/>
    </row>
    <row r="5" spans="1:9" ht="26.25" customHeight="1">
      <c r="A5" s="4">
        <v>2</v>
      </c>
      <c r="B5" s="18" t="s">
        <v>16</v>
      </c>
      <c r="C5" s="7">
        <v>4010404</v>
      </c>
      <c r="D5" s="8"/>
      <c r="E5" s="9"/>
      <c r="F5" s="20"/>
      <c r="G5" s="8">
        <f>C5*0.16</f>
        <v>641664.64</v>
      </c>
      <c r="H5" s="10"/>
      <c r="I5" s="6"/>
    </row>
    <row r="6" spans="1:9" ht="26.25" customHeight="1">
      <c r="A6" s="4">
        <v>3</v>
      </c>
      <c r="B6" s="18" t="s">
        <v>17</v>
      </c>
      <c r="C6" s="7">
        <v>45644085</v>
      </c>
      <c r="D6" s="8"/>
      <c r="E6" s="9"/>
      <c r="F6" s="20"/>
      <c r="G6" s="8"/>
      <c r="H6" s="23"/>
      <c r="I6" s="6"/>
    </row>
    <row r="7" spans="1:9" ht="26.25" customHeight="1">
      <c r="A7" s="4">
        <v>4</v>
      </c>
      <c r="B7" s="18" t="s">
        <v>18</v>
      </c>
      <c r="C7" s="7">
        <v>108159631</v>
      </c>
      <c r="D7" s="8"/>
      <c r="E7" s="9"/>
      <c r="F7" s="20">
        <f t="shared" ref="F5:F10" si="0">C7*0.2</f>
        <v>21631926.200000003</v>
      </c>
      <c r="G7" s="8">
        <f>C7*0.033</f>
        <v>3569267.8230000003</v>
      </c>
      <c r="H7" s="10"/>
      <c r="I7" s="6"/>
    </row>
    <row r="8" spans="1:9" ht="26.25" customHeight="1">
      <c r="A8" s="4">
        <v>5</v>
      </c>
      <c r="B8" s="22" t="s">
        <v>19</v>
      </c>
      <c r="C8" s="7">
        <v>265845182</v>
      </c>
      <c r="D8" s="8"/>
      <c r="E8" s="9"/>
      <c r="F8" s="20"/>
      <c r="G8" s="8"/>
      <c r="H8" s="10"/>
      <c r="I8" s="6"/>
    </row>
    <row r="9" spans="1:9" ht="26.25" customHeight="1">
      <c r="A9" s="4">
        <v>6</v>
      </c>
      <c r="B9" s="22" t="s">
        <v>20</v>
      </c>
      <c r="C9" s="7">
        <v>0</v>
      </c>
      <c r="D9" s="8"/>
      <c r="E9" s="9"/>
      <c r="F9" s="20"/>
      <c r="G9" s="8"/>
      <c r="H9" s="10"/>
      <c r="I9" s="6"/>
    </row>
    <row r="10" spans="1:9" ht="26.25" customHeight="1">
      <c r="A10" s="4">
        <v>7</v>
      </c>
      <c r="B10" s="22" t="s">
        <v>21</v>
      </c>
      <c r="C10" s="7">
        <v>0</v>
      </c>
      <c r="D10" s="8"/>
      <c r="E10" s="9"/>
      <c r="F10" s="20"/>
      <c r="G10" s="8"/>
      <c r="H10" s="10"/>
      <c r="I10" s="6"/>
    </row>
    <row r="11" spans="1:9" ht="26.25" customHeight="1">
      <c r="A11" s="4">
        <v>8</v>
      </c>
      <c r="B11" s="22" t="s">
        <v>28</v>
      </c>
      <c r="C11" s="8">
        <v>3675000</v>
      </c>
      <c r="D11" s="8"/>
      <c r="E11" s="9"/>
      <c r="F11" s="20"/>
      <c r="G11" s="8"/>
      <c r="H11" s="10"/>
      <c r="I11" s="6"/>
    </row>
    <row r="12" spans="1:9" ht="26.25" customHeight="1">
      <c r="A12" s="26" t="s">
        <v>3</v>
      </c>
      <c r="B12" s="26"/>
      <c r="C12" s="15">
        <f>SUM(C4:C11)</f>
        <v>429918404</v>
      </c>
      <c r="D12" s="15"/>
      <c r="E12" s="15"/>
      <c r="F12" s="15"/>
      <c r="G12" s="15"/>
      <c r="H12" s="21"/>
      <c r="I12" s="4"/>
    </row>
    <row r="13" spans="1:9" s="2" customFormat="1" ht="26.25" customHeight="1">
      <c r="B13" s="13"/>
      <c r="C13" s="14"/>
      <c r="D13" s="14"/>
      <c r="E13" s="14"/>
      <c r="F13" s="14"/>
      <c r="G13" s="14"/>
      <c r="H13" s="13"/>
      <c r="I13" s="3"/>
    </row>
    <row r="14" spans="1:9" s="2" customFormat="1" ht="26.25" customHeight="1">
      <c r="B14" s="13"/>
      <c r="C14" s="14"/>
      <c r="D14" s="14"/>
      <c r="E14" s="14"/>
      <c r="F14" s="14"/>
      <c r="G14" s="14"/>
      <c r="H14" s="13"/>
      <c r="I14" s="3"/>
    </row>
  </sheetData>
  <mergeCells count="7">
    <mergeCell ref="H2:H3"/>
    <mergeCell ref="I2:I3"/>
    <mergeCell ref="A12:B12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69BD-4F8B-4F85-A6DA-86C47019B74D}">
  <sheetPr>
    <pageSetUpPr fitToPage="1"/>
  </sheetPr>
  <dimension ref="A1:I14"/>
  <sheetViews>
    <sheetView view="pageBreakPreview" zoomScale="92" zoomScaleNormal="100" zoomScaleSheetLayoutView="100" workbookViewId="0">
      <selection activeCell="F16" sqref="F16"/>
    </sheetView>
  </sheetViews>
  <sheetFormatPr defaultColWidth="8.84375" defaultRowHeight="26.25" customHeight="1"/>
  <cols>
    <col min="1" max="1" width="5.69140625" style="2" customWidth="1"/>
    <col min="2" max="2" width="20.07421875" style="13" customWidth="1"/>
    <col min="3" max="3" width="22.69140625" style="14" customWidth="1"/>
    <col min="4" max="4" width="27" style="14" customWidth="1"/>
    <col min="5" max="6" width="13.84375" style="14" customWidth="1"/>
    <col min="7" max="7" width="12.84375" style="14" customWidth="1"/>
    <col min="8" max="8" width="26.3046875" style="2" customWidth="1"/>
    <col min="9" max="9" width="42.69140625" style="3" customWidth="1"/>
    <col min="10" max="11" width="10.765625" style="3" bestFit="1" customWidth="1"/>
    <col min="12" max="16384" width="8.84375" style="3"/>
  </cols>
  <sheetData>
    <row r="1" spans="1:9" ht="26.25" customHeight="1">
      <c r="A1" s="1" t="s">
        <v>27</v>
      </c>
      <c r="D1" s="13"/>
      <c r="E1" s="13"/>
      <c r="F1" s="13" t="s">
        <v>14</v>
      </c>
      <c r="G1" s="13" t="s">
        <v>15</v>
      </c>
      <c r="H1" s="3"/>
    </row>
    <row r="2" spans="1:9" ht="26.25" customHeight="1">
      <c r="A2" s="24" t="s">
        <v>0</v>
      </c>
      <c r="B2" s="27" t="s">
        <v>4</v>
      </c>
      <c r="C2" s="29" t="s">
        <v>26</v>
      </c>
      <c r="D2" s="15" t="s">
        <v>9</v>
      </c>
      <c r="E2" s="31" t="s">
        <v>10</v>
      </c>
      <c r="F2" s="32"/>
      <c r="G2" s="33"/>
      <c r="H2" s="24" t="s">
        <v>1</v>
      </c>
      <c r="I2" s="24" t="s">
        <v>2</v>
      </c>
    </row>
    <row r="3" spans="1:9" ht="26.25" customHeight="1">
      <c r="A3" s="25"/>
      <c r="B3" s="28"/>
      <c r="C3" s="30"/>
      <c r="D3" s="15" t="s">
        <v>5</v>
      </c>
      <c r="E3" s="16" t="s">
        <v>6</v>
      </c>
      <c r="F3" s="16" t="s">
        <v>8</v>
      </c>
      <c r="G3" s="17" t="s">
        <v>7</v>
      </c>
      <c r="H3" s="25"/>
      <c r="I3" s="25"/>
    </row>
    <row r="4" spans="1:9" ht="26.25" customHeight="1">
      <c r="A4" s="4">
        <v>1</v>
      </c>
      <c r="B4" s="18" t="s">
        <v>13</v>
      </c>
      <c r="C4" s="7">
        <v>3167684</v>
      </c>
      <c r="D4" s="8"/>
      <c r="E4" s="19"/>
      <c r="F4" s="20"/>
      <c r="G4" s="20">
        <f>C4*0.25</f>
        <v>791921</v>
      </c>
      <c r="H4" s="5"/>
      <c r="I4" s="6"/>
    </row>
    <row r="5" spans="1:9" ht="26.25" customHeight="1">
      <c r="A5" s="4">
        <v>2</v>
      </c>
      <c r="B5" s="18" t="s">
        <v>16</v>
      </c>
      <c r="C5" s="7">
        <v>8283097</v>
      </c>
      <c r="D5" s="8"/>
      <c r="E5" s="9"/>
      <c r="F5" s="20"/>
      <c r="G5" s="8">
        <f>C5*0.16</f>
        <v>1325295.52</v>
      </c>
      <c r="H5" s="5"/>
      <c r="I5" s="6"/>
    </row>
    <row r="6" spans="1:9" ht="26.25" customHeight="1">
      <c r="A6" s="4">
        <v>3</v>
      </c>
      <c r="B6" s="18" t="s">
        <v>17</v>
      </c>
      <c r="C6" s="7">
        <v>15049301</v>
      </c>
      <c r="D6" s="8"/>
      <c r="E6" s="9"/>
      <c r="F6" s="20"/>
      <c r="G6" s="8"/>
      <c r="H6" s="12"/>
      <c r="I6" s="6"/>
    </row>
    <row r="7" spans="1:9" ht="26.25" customHeight="1">
      <c r="A7" s="4">
        <v>4</v>
      </c>
      <c r="B7" s="18" t="s">
        <v>18</v>
      </c>
      <c r="C7" s="7">
        <v>142430371</v>
      </c>
      <c r="D7" s="8"/>
      <c r="E7" s="9"/>
      <c r="F7" s="20">
        <f t="shared" ref="F5:F10" si="0">C7*0.2</f>
        <v>28486074.200000003</v>
      </c>
      <c r="G7" s="8">
        <f>C7*0.033</f>
        <v>4700202.2429999998</v>
      </c>
      <c r="H7" s="5"/>
      <c r="I7" s="6"/>
    </row>
    <row r="8" spans="1:9" ht="26.25" customHeight="1">
      <c r="A8" s="4">
        <v>5</v>
      </c>
      <c r="B8" s="22" t="s">
        <v>19</v>
      </c>
      <c r="C8" s="7">
        <v>273708818</v>
      </c>
      <c r="D8" s="8"/>
      <c r="E8" s="9"/>
      <c r="F8" s="20"/>
      <c r="G8" s="8"/>
      <c r="H8" s="5"/>
      <c r="I8" s="6"/>
    </row>
    <row r="9" spans="1:9" ht="26.25" customHeight="1">
      <c r="A9" s="4">
        <v>6</v>
      </c>
      <c r="B9" s="22" t="s">
        <v>20</v>
      </c>
      <c r="C9" s="7">
        <v>300000000</v>
      </c>
      <c r="D9" s="8"/>
      <c r="E9" s="9"/>
      <c r="F9" s="20"/>
      <c r="G9" s="8"/>
      <c r="H9" s="5"/>
      <c r="I9" s="6"/>
    </row>
    <row r="10" spans="1:9" ht="26.25" customHeight="1">
      <c r="A10" s="4">
        <v>7</v>
      </c>
      <c r="B10" s="22" t="s">
        <v>21</v>
      </c>
      <c r="C10" s="7">
        <v>0</v>
      </c>
      <c r="D10" s="8"/>
      <c r="E10" s="9"/>
      <c r="F10" s="20">
        <f t="shared" si="0"/>
        <v>0</v>
      </c>
      <c r="G10" s="8"/>
      <c r="H10" s="5"/>
      <c r="I10" s="6"/>
    </row>
    <row r="11" spans="1:9" ht="26.25" customHeight="1">
      <c r="A11" s="4">
        <v>8</v>
      </c>
      <c r="B11" s="22" t="s">
        <v>28</v>
      </c>
      <c r="C11" s="8">
        <v>4900000</v>
      </c>
      <c r="D11" s="8"/>
      <c r="E11" s="9"/>
      <c r="F11" s="20"/>
      <c r="G11" s="8"/>
      <c r="H11" s="5"/>
      <c r="I11" s="6"/>
    </row>
    <row r="12" spans="1:9" ht="26.25" customHeight="1">
      <c r="A12" s="26" t="s">
        <v>3</v>
      </c>
      <c r="B12" s="26"/>
      <c r="C12" s="15">
        <f>SUM(C4:C11)</f>
        <v>747539271</v>
      </c>
      <c r="D12" s="15"/>
      <c r="E12" s="15"/>
      <c r="F12" s="15"/>
      <c r="G12" s="15"/>
      <c r="H12" s="4"/>
      <c r="I12" s="4"/>
    </row>
    <row r="13" spans="1:9" s="2" customFormat="1" ht="26.25" customHeight="1">
      <c r="B13" s="13"/>
      <c r="C13" s="14"/>
      <c r="D13" s="14"/>
      <c r="E13" s="14"/>
      <c r="F13" s="14"/>
      <c r="G13" s="14"/>
      <c r="I13" s="3"/>
    </row>
    <row r="14" spans="1:9" s="2" customFormat="1" ht="26.25" customHeight="1">
      <c r="B14" s="13"/>
      <c r="C14" s="14"/>
      <c r="D14" s="14"/>
      <c r="E14" s="14"/>
      <c r="F14" s="14"/>
      <c r="G14" s="14"/>
      <c r="I14" s="3"/>
    </row>
  </sheetData>
  <mergeCells count="7">
    <mergeCell ref="H2:H3"/>
    <mergeCell ref="I2:I3"/>
    <mergeCell ref="A12:B12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2월</vt:lpstr>
      <vt:lpstr>3월</vt:lpstr>
      <vt:lpstr>4월</vt:lpstr>
      <vt:lpstr>5월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MinHye Chi</dc:creator>
  <cp:lastModifiedBy>신 홍주</cp:lastModifiedBy>
  <dcterms:created xsi:type="dcterms:W3CDTF">2025-08-26T07:26:08Z</dcterms:created>
  <dcterms:modified xsi:type="dcterms:W3CDTF">2026-02-06T07:59:08Z</dcterms:modified>
</cp:coreProperties>
</file>