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F1C2FEFE-01A8-4BD5-AEA6-293A8C75CA84}" xr6:coauthVersionLast="47" xr6:coauthVersionMax="47" xr10:uidLastSave="{00000000-0000-0000-0000-000000000000}"/>
  <bookViews>
    <workbookView xWindow="43095" yWindow="1770" windowWidth="14610" windowHeight="15585" xr2:uid="{CC890FFC-E055-4E35-BB9B-45C996DBA1BC}"/>
  </bookViews>
  <sheets>
    <sheet name="Sheet1" sheetId="1" r:id="rId1"/>
  </sheets>
  <definedNames>
    <definedName name="_xlnm._FilterDatabase" localSheetId="0" hidden="1">Sheet1!$A$1:$F$116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1" l="1"/>
  <c r="F54" i="1"/>
  <c r="F51" i="1"/>
  <c r="F26" i="1"/>
  <c r="F12" i="1"/>
  <c r="F9" i="1"/>
</calcChain>
</file>

<file path=xl/sharedStrings.xml><?xml version="1.0" encoding="utf-8"?>
<sst xmlns="http://schemas.openxmlformats.org/spreadsheetml/2006/main" count="250" uniqueCount="82">
  <si>
    <t>Date</t>
    <phoneticPr fontId="1" type="noConversion"/>
  </si>
  <si>
    <t>BrandName</t>
    <phoneticPr fontId="1" type="noConversion"/>
  </si>
  <si>
    <t>ChannelName</t>
    <phoneticPr fontId="1" type="noConversion"/>
  </si>
  <si>
    <t>PlanType</t>
    <phoneticPr fontId="1" type="noConversion"/>
  </si>
  <si>
    <t>Amount</t>
    <phoneticPr fontId="1" type="noConversion"/>
  </si>
  <si>
    <t>ChannelDetail</t>
    <phoneticPr fontId="1" type="noConversion"/>
  </si>
  <si>
    <t>프로그</t>
  </si>
  <si>
    <t>이마트</t>
  </si>
  <si>
    <t>노브랜드</t>
  </si>
  <si>
    <t>트레이더스</t>
  </si>
  <si>
    <t>에브리데이</t>
  </si>
  <si>
    <t>이마트24</t>
  </si>
  <si>
    <t>홈플러스</t>
  </si>
  <si>
    <t>(주)홈플러스</t>
  </si>
  <si>
    <t>롯데마트</t>
  </si>
  <si>
    <t>롯데마트(+슈퍼)</t>
  </si>
  <si>
    <t>B마트</t>
  </si>
  <si>
    <t>(주)우아한형제들</t>
  </si>
  <si>
    <t>하나로모아산업(주)</t>
  </si>
  <si>
    <t>킴스클럽</t>
  </si>
  <si>
    <t>(주)이랜드리테일</t>
  </si>
  <si>
    <t>도매(정기)</t>
  </si>
  <si>
    <t>서해현대유통</t>
  </si>
  <si>
    <t>(주)꼬끼오</t>
  </si>
  <si>
    <t>국군복지단</t>
  </si>
  <si>
    <t>서연유통</t>
  </si>
  <si>
    <t>메가마트</t>
  </si>
  <si>
    <t>트라이얼마트</t>
  </si>
  <si>
    <t>(주)리빙</t>
  </si>
  <si>
    <t>(주)태산홀딩스</t>
  </si>
  <si>
    <t>(주)다인유통</t>
  </si>
  <si>
    <t>(주)심스리빙</t>
  </si>
  <si>
    <t>(주)에이치앤엘아이앤씨</t>
  </si>
  <si>
    <t>(주)제일종합유통</t>
  </si>
  <si>
    <t>다온</t>
  </si>
  <si>
    <t>쿠팡</t>
  </si>
  <si>
    <t>쿠팡주식회사</t>
  </si>
  <si>
    <t>CPLB(코멧)</t>
  </si>
  <si>
    <t>씨피엘비 주식회사</t>
  </si>
  <si>
    <t>네이버 스토어팜</t>
  </si>
  <si>
    <t>스토어팜_프로그</t>
  </si>
  <si>
    <t>마켓컬리</t>
  </si>
  <si>
    <t>(주)컬리</t>
  </si>
  <si>
    <t>오늘의집</t>
  </si>
  <si>
    <t>(주)버킷플레이스</t>
  </si>
  <si>
    <t>토스</t>
  </si>
  <si>
    <t>(주)비바리퍼블리카</t>
  </si>
  <si>
    <t>CJ홈쇼핑</t>
  </si>
  <si>
    <t>(주)씨제이이엔엠</t>
  </si>
  <si>
    <t>현대홈쇼핑</t>
  </si>
  <si>
    <t>(주)현대홈쇼핑</t>
  </si>
  <si>
    <t>11번가(위탁)</t>
  </si>
  <si>
    <t>11번가</t>
  </si>
  <si>
    <t>띵샵</t>
  </si>
  <si>
    <t>롯데카드 주식회사</t>
  </si>
  <si>
    <t>카카오</t>
  </si>
  <si>
    <t>주식회사 카카오</t>
  </si>
  <si>
    <t>GS홈쇼핑</t>
  </si>
  <si>
    <t>자사몰</t>
  </si>
  <si>
    <t>자사몰_스크럽대디</t>
  </si>
  <si>
    <t>올리브영</t>
  </si>
  <si>
    <t>29CM</t>
  </si>
  <si>
    <t>(주)폼하이테크</t>
  </si>
  <si>
    <t>코스트코</t>
  </si>
  <si>
    <t>(주)코스트코코리아</t>
  </si>
  <si>
    <t>(주)햅스토어</t>
  </si>
  <si>
    <t>스크럽대디</t>
  </si>
  <si>
    <t>도매(비정기)</t>
    <phoneticPr fontId="6" type="noConversion"/>
  </si>
  <si>
    <t>스크럽대디</t>
    <phoneticPr fontId="6" type="noConversion"/>
  </si>
  <si>
    <t>㈜이마트</t>
    <phoneticPr fontId="6" type="noConversion"/>
  </si>
  <si>
    <t>(주)호민상사</t>
    <phoneticPr fontId="6" type="noConversion"/>
  </si>
  <si>
    <t>홈앤쇼핑</t>
  </si>
  <si>
    <t>(주)홈앤쇼핑</t>
  </si>
  <si>
    <t>온라인(비정기)</t>
  </si>
  <si>
    <t>(주)지에스리테일 홈쇼핑</t>
  </si>
  <si>
    <t>(주)씨제이올리브영</t>
  </si>
  <si>
    <t>(주)무신사</t>
  </si>
  <si>
    <t>(주)우아한형제들</t>
    <phoneticPr fontId="6" type="noConversion"/>
  </si>
  <si>
    <t>하나로모아산업(주)</t>
    <phoneticPr fontId="6" type="noConversion"/>
  </si>
  <si>
    <t>(주)이랜드리테일</t>
    <phoneticPr fontId="6" type="noConversion"/>
  </si>
  <si>
    <t>(주)헬로우아폴로</t>
    <phoneticPr fontId="6" type="noConversion"/>
  </si>
  <si>
    <t>Expected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</si>
</sst>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(* #,##0_);_(* \(#,##0\);_(* &quot;-&quot;_);_(@_)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12"/>
      <color theme="1"/>
      <name val="NanumGothicOTFLight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NanumGothicOTFLight"/>
      <family val="2"/>
      <charset val="129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176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7" fillId="0" borderId="1" xfId="3" applyFont="1" applyFill="1" applyBorder="1" applyAlignment="1">
      <alignment horizontal="center" vertical="center"/>
    </xf>
    <xf numFmtId="176" fontId="5" fillId="0" borderId="1" xfId="2" applyFont="1" applyFill="1" applyBorder="1">
      <alignment vertical="center"/>
    </xf>
    <xf numFmtId="176" fontId="5" fillId="0" borderId="1" xfId="2" applyFont="1" applyFill="1" applyBorder="1" applyAlignment="1">
      <alignment horizontal="center" vertical="center"/>
    </xf>
    <xf numFmtId="176" fontId="7" fillId="0" borderId="1" xfId="2" applyFont="1" applyFill="1" applyBorder="1" applyAlignment="1">
      <alignment horizontal="center" vertical="center"/>
    </xf>
    <xf numFmtId="176" fontId="7" fillId="0" borderId="1" xfId="2" applyFont="1" applyFill="1" applyBorder="1">
      <alignment vertical="center"/>
    </xf>
    <xf numFmtId="41" fontId="7" fillId="0" borderId="1" xfId="3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1" fontId="7" fillId="0" borderId="2" xfId="3" applyFont="1" applyFill="1" applyBorder="1" applyAlignment="1">
      <alignment horizontal="center" vertical="center"/>
    </xf>
    <xf numFmtId="41" fontId="5" fillId="0" borderId="0" xfId="3" applyFont="1" applyFill="1" applyAlignment="1">
      <alignment horizontal="center" vertical="center"/>
    </xf>
  </cellXfs>
  <cellStyles count="4">
    <cellStyle name="쉼표 [0]" xfId="3" builtinId="6"/>
    <cellStyle name="쉼표 [0] 2" xfId="2" xr:uid="{C6192FC1-8AA1-4F25-A1E2-AA0037A6B5A9}"/>
    <cellStyle name="표준" xfId="0" builtinId="0"/>
    <cellStyle name="표준 2" xfId="1" xr:uid="{4604BAFC-C9C2-4B03-9780-02B908B3F5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1EFA-3FC0-48E9-8038-E1892C7DACF0}">
  <dimension ref="A1:F116"/>
  <sheetViews>
    <sheetView tabSelected="1" workbookViewId="0">
      <selection activeCell="C1" sqref="C1"/>
    </sheetView>
  </sheetViews>
  <sheetFormatPr defaultRowHeight="17"/>
  <cols>
    <col min="1" max="1" width="11.08203125" bestFit="1" customWidth="1"/>
    <col min="2" max="2" width="11.58203125" bestFit="1" customWidth="1"/>
    <col min="3" max="4" width="14" bestFit="1" customWidth="1"/>
    <col min="5" max="5" width="9.25" bestFit="1" customWidth="1"/>
    <col min="6" max="6" width="16" customWidth="1"/>
  </cols>
  <sheetData>
    <row r="1" spans="1:6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>
      <c r="A2" s="1">
        <v>46023</v>
      </c>
      <c r="B2" s="10" t="s">
        <v>6</v>
      </c>
      <c r="C2" s="9" t="s">
        <v>7</v>
      </c>
      <c r="D2" s="9" t="s">
        <v>69</v>
      </c>
      <c r="E2" s="2" t="s">
        <v>81</v>
      </c>
      <c r="F2" s="4">
        <v>133000000</v>
      </c>
    </row>
    <row r="3" spans="1:6">
      <c r="A3" s="1">
        <v>46023</v>
      </c>
      <c r="B3" s="10" t="s">
        <v>6</v>
      </c>
      <c r="C3" s="9" t="s">
        <v>8</v>
      </c>
      <c r="D3" s="10" t="s">
        <v>8</v>
      </c>
      <c r="E3" s="2" t="s">
        <v>81</v>
      </c>
      <c r="F3" s="5">
        <v>9000000</v>
      </c>
    </row>
    <row r="4" spans="1:6">
      <c r="A4" s="1">
        <v>46023</v>
      </c>
      <c r="B4" s="10" t="s">
        <v>6</v>
      </c>
      <c r="C4" s="9" t="s">
        <v>9</v>
      </c>
      <c r="D4" s="10" t="s">
        <v>9</v>
      </c>
      <c r="E4" s="2" t="s">
        <v>81</v>
      </c>
      <c r="F4" s="5">
        <v>4604688</v>
      </c>
    </row>
    <row r="5" spans="1:6">
      <c r="A5" s="1">
        <v>46023</v>
      </c>
      <c r="B5" s="10" t="s">
        <v>6</v>
      </c>
      <c r="C5" s="9" t="s">
        <v>10</v>
      </c>
      <c r="D5" s="10" t="s">
        <v>10</v>
      </c>
      <c r="E5" s="2" t="s">
        <v>81</v>
      </c>
      <c r="F5" s="5">
        <v>5000000</v>
      </c>
    </row>
    <row r="6" spans="1:6">
      <c r="A6" s="1">
        <v>46023</v>
      </c>
      <c r="B6" s="10" t="s">
        <v>6</v>
      </c>
      <c r="C6" s="9" t="s">
        <v>11</v>
      </c>
      <c r="D6" s="10" t="s">
        <v>11</v>
      </c>
      <c r="E6" s="2" t="s">
        <v>81</v>
      </c>
      <c r="F6" s="6">
        <v>700000</v>
      </c>
    </row>
    <row r="7" spans="1:6">
      <c r="A7" s="1">
        <v>46023</v>
      </c>
      <c r="B7" s="10" t="s">
        <v>6</v>
      </c>
      <c r="C7" s="9" t="s">
        <v>12</v>
      </c>
      <c r="D7" s="10" t="s">
        <v>13</v>
      </c>
      <c r="E7" s="2" t="s">
        <v>81</v>
      </c>
      <c r="F7" s="6">
        <v>6000000</v>
      </c>
    </row>
    <row r="8" spans="1:6">
      <c r="A8" s="1">
        <v>46023</v>
      </c>
      <c r="B8" s="10" t="s">
        <v>6</v>
      </c>
      <c r="C8" s="12" t="s">
        <v>14</v>
      </c>
      <c r="D8" s="9" t="s">
        <v>15</v>
      </c>
      <c r="E8" s="2" t="s">
        <v>81</v>
      </c>
      <c r="F8" s="6">
        <v>8100000</v>
      </c>
    </row>
    <row r="9" spans="1:6">
      <c r="A9" s="1">
        <v>46023</v>
      </c>
      <c r="B9" s="11" t="s">
        <v>6</v>
      </c>
      <c r="C9" s="9" t="s">
        <v>16</v>
      </c>
      <c r="D9" s="11" t="s">
        <v>17</v>
      </c>
      <c r="E9" s="2" t="s">
        <v>81</v>
      </c>
      <c r="F9" s="6">
        <f>34000000-2100000-4000000</f>
        <v>27900000</v>
      </c>
    </row>
    <row r="10" spans="1:6">
      <c r="A10" s="1">
        <v>46023</v>
      </c>
      <c r="B10" s="11" t="s">
        <v>6</v>
      </c>
      <c r="C10" s="9" t="s">
        <v>18</v>
      </c>
      <c r="D10" s="11" t="s">
        <v>18</v>
      </c>
      <c r="E10" s="2" t="s">
        <v>81</v>
      </c>
      <c r="F10" s="6">
        <v>15000000</v>
      </c>
    </row>
    <row r="11" spans="1:6">
      <c r="A11" s="1">
        <v>46023</v>
      </c>
      <c r="B11" s="11" t="s">
        <v>6</v>
      </c>
      <c r="C11" s="9" t="s">
        <v>19</v>
      </c>
      <c r="D11" s="11" t="s">
        <v>20</v>
      </c>
      <c r="E11" s="2" t="s">
        <v>81</v>
      </c>
      <c r="F11" s="7">
        <v>2700000</v>
      </c>
    </row>
    <row r="12" spans="1:6">
      <c r="A12" s="1">
        <v>46023</v>
      </c>
      <c r="B12" s="11" t="s">
        <v>6</v>
      </c>
      <c r="C12" s="9" t="s">
        <v>21</v>
      </c>
      <c r="D12" s="11" t="s">
        <v>22</v>
      </c>
      <c r="E12" s="2" t="s">
        <v>81</v>
      </c>
      <c r="F12" s="7">
        <f>1900000+900000</f>
        <v>2800000</v>
      </c>
    </row>
    <row r="13" spans="1:6">
      <c r="A13" s="1">
        <v>46023</v>
      </c>
      <c r="B13" s="10" t="s">
        <v>6</v>
      </c>
      <c r="C13" s="9" t="s">
        <v>23</v>
      </c>
      <c r="D13" s="10" t="s">
        <v>23</v>
      </c>
      <c r="E13" s="2" t="s">
        <v>81</v>
      </c>
      <c r="F13" s="4">
        <v>1600000</v>
      </c>
    </row>
    <row r="14" spans="1:6">
      <c r="A14" s="1">
        <v>46023</v>
      </c>
      <c r="B14" s="10" t="s">
        <v>6</v>
      </c>
      <c r="C14" s="9" t="s">
        <v>24</v>
      </c>
      <c r="D14" s="10" t="s">
        <v>24</v>
      </c>
      <c r="E14" s="2" t="s">
        <v>81</v>
      </c>
      <c r="F14" s="4">
        <v>7895835</v>
      </c>
    </row>
    <row r="15" spans="1:6">
      <c r="A15" s="1">
        <v>46023</v>
      </c>
      <c r="B15" s="10" t="s">
        <v>6</v>
      </c>
      <c r="C15" s="13" t="s">
        <v>21</v>
      </c>
      <c r="D15" s="10" t="s">
        <v>70</v>
      </c>
      <c r="E15" s="2" t="s">
        <v>81</v>
      </c>
      <c r="F15" s="4">
        <v>5350000</v>
      </c>
    </row>
    <row r="16" spans="1:6">
      <c r="A16" s="1">
        <v>46023</v>
      </c>
      <c r="B16" s="10" t="s">
        <v>6</v>
      </c>
      <c r="C16" s="13" t="s">
        <v>21</v>
      </c>
      <c r="D16" s="10" t="s">
        <v>25</v>
      </c>
      <c r="E16" s="2" t="s">
        <v>81</v>
      </c>
      <c r="F16" s="4">
        <v>3400000</v>
      </c>
    </row>
    <row r="17" spans="1:6">
      <c r="A17" s="1">
        <v>46023</v>
      </c>
      <c r="B17" s="10" t="s">
        <v>6</v>
      </c>
      <c r="C17" s="9" t="s">
        <v>26</v>
      </c>
      <c r="D17" s="10" t="s">
        <v>26</v>
      </c>
      <c r="E17" s="2" t="s">
        <v>81</v>
      </c>
      <c r="F17" s="4">
        <v>150000</v>
      </c>
    </row>
    <row r="18" spans="1:6">
      <c r="A18" s="1">
        <v>46023</v>
      </c>
      <c r="B18" s="10" t="s">
        <v>6</v>
      </c>
      <c r="C18" s="9" t="s">
        <v>27</v>
      </c>
      <c r="D18" s="10" t="s">
        <v>27</v>
      </c>
      <c r="E18" s="2" t="s">
        <v>81</v>
      </c>
      <c r="F18" s="4">
        <v>195000</v>
      </c>
    </row>
    <row r="19" spans="1:6">
      <c r="A19" s="1">
        <v>46023</v>
      </c>
      <c r="B19" s="10" t="s">
        <v>6</v>
      </c>
      <c r="C19" s="9" t="s">
        <v>21</v>
      </c>
      <c r="D19" s="10" t="s">
        <v>28</v>
      </c>
      <c r="E19" s="2" t="s">
        <v>81</v>
      </c>
      <c r="F19" s="4">
        <v>1000000</v>
      </c>
    </row>
    <row r="20" spans="1:6">
      <c r="A20" s="1">
        <v>46023</v>
      </c>
      <c r="B20" s="10" t="s">
        <v>6</v>
      </c>
      <c r="C20" s="9" t="s">
        <v>21</v>
      </c>
      <c r="D20" s="10" t="s">
        <v>29</v>
      </c>
      <c r="E20" s="2" t="s">
        <v>81</v>
      </c>
      <c r="F20" s="4">
        <v>1500000</v>
      </c>
    </row>
    <row r="21" spans="1:6">
      <c r="A21" s="1">
        <v>46023</v>
      </c>
      <c r="B21" s="10" t="s">
        <v>6</v>
      </c>
      <c r="C21" s="9" t="s">
        <v>21</v>
      </c>
      <c r="D21" s="10" t="s">
        <v>30</v>
      </c>
      <c r="E21" s="2" t="s">
        <v>81</v>
      </c>
      <c r="F21" s="4">
        <v>900000</v>
      </c>
    </row>
    <row r="22" spans="1:6">
      <c r="A22" s="1">
        <v>46023</v>
      </c>
      <c r="B22" s="11" t="s">
        <v>6</v>
      </c>
      <c r="C22" s="9" t="s">
        <v>21</v>
      </c>
      <c r="D22" s="11" t="s">
        <v>31</v>
      </c>
      <c r="E22" s="2" t="s">
        <v>81</v>
      </c>
      <c r="F22" s="4">
        <v>500000</v>
      </c>
    </row>
    <row r="23" spans="1:6">
      <c r="A23" s="1">
        <v>46023</v>
      </c>
      <c r="B23" s="11" t="s">
        <v>6</v>
      </c>
      <c r="C23" s="9" t="s">
        <v>21</v>
      </c>
      <c r="D23" s="11" t="s">
        <v>32</v>
      </c>
      <c r="E23" s="2" t="s">
        <v>81</v>
      </c>
      <c r="F23" s="4">
        <v>2300000</v>
      </c>
    </row>
    <row r="24" spans="1:6">
      <c r="A24" s="1">
        <v>46023</v>
      </c>
      <c r="B24" s="11" t="s">
        <v>6</v>
      </c>
      <c r="C24" s="9" t="s">
        <v>21</v>
      </c>
      <c r="D24" s="11" t="s">
        <v>33</v>
      </c>
      <c r="E24" s="2" t="s">
        <v>81</v>
      </c>
      <c r="F24" s="4">
        <v>450000</v>
      </c>
    </row>
    <row r="25" spans="1:6">
      <c r="A25" s="1">
        <v>46023</v>
      </c>
      <c r="B25" s="11" t="s">
        <v>6</v>
      </c>
      <c r="C25" s="9" t="s">
        <v>21</v>
      </c>
      <c r="D25" s="11" t="s">
        <v>34</v>
      </c>
      <c r="E25" s="2" t="s">
        <v>81</v>
      </c>
      <c r="F25" s="4">
        <v>650000</v>
      </c>
    </row>
    <row r="26" spans="1:6">
      <c r="A26" s="1">
        <v>46023</v>
      </c>
      <c r="B26" s="11" t="s">
        <v>6</v>
      </c>
      <c r="C26" s="10" t="s">
        <v>67</v>
      </c>
      <c r="D26" s="11" t="s">
        <v>67</v>
      </c>
      <c r="E26" s="2" t="s">
        <v>81</v>
      </c>
      <c r="F26" s="4">
        <f>2800000+3500000</f>
        <v>6300000</v>
      </c>
    </row>
    <row r="27" spans="1:6">
      <c r="A27" s="1">
        <v>46023</v>
      </c>
      <c r="B27" s="11" t="s">
        <v>6</v>
      </c>
      <c r="C27" s="9" t="s">
        <v>35</v>
      </c>
      <c r="D27" s="11" t="s">
        <v>36</v>
      </c>
      <c r="E27" s="2" t="s">
        <v>81</v>
      </c>
      <c r="F27" s="8">
        <v>631000000</v>
      </c>
    </row>
    <row r="28" spans="1:6">
      <c r="A28" s="1">
        <v>46023</v>
      </c>
      <c r="B28" s="11" t="s">
        <v>6</v>
      </c>
      <c r="C28" s="9" t="s">
        <v>37</v>
      </c>
      <c r="D28" s="11" t="s">
        <v>38</v>
      </c>
      <c r="E28" s="2" t="s">
        <v>81</v>
      </c>
      <c r="F28" s="8">
        <v>10000000</v>
      </c>
    </row>
    <row r="29" spans="1:6">
      <c r="A29" s="1">
        <v>46023</v>
      </c>
      <c r="B29" s="11" t="s">
        <v>6</v>
      </c>
      <c r="C29" s="9" t="s">
        <v>39</v>
      </c>
      <c r="D29" s="11" t="s">
        <v>40</v>
      </c>
      <c r="E29" s="2" t="s">
        <v>81</v>
      </c>
      <c r="F29" s="8">
        <v>49322000</v>
      </c>
    </row>
    <row r="30" spans="1:6">
      <c r="A30" s="1">
        <v>46023</v>
      </c>
      <c r="B30" s="11" t="s">
        <v>6</v>
      </c>
      <c r="C30" s="9" t="s">
        <v>41</v>
      </c>
      <c r="D30" s="11" t="s">
        <v>42</v>
      </c>
      <c r="E30" s="2" t="s">
        <v>81</v>
      </c>
      <c r="F30" s="8">
        <v>50000000</v>
      </c>
    </row>
    <row r="31" spans="1:6">
      <c r="A31" s="1">
        <v>46023</v>
      </c>
      <c r="B31" s="11" t="s">
        <v>6</v>
      </c>
      <c r="C31" s="9" t="s">
        <v>43</v>
      </c>
      <c r="D31" s="11" t="s">
        <v>44</v>
      </c>
      <c r="E31" s="2" t="s">
        <v>81</v>
      </c>
      <c r="F31" s="8">
        <v>2310000</v>
      </c>
    </row>
    <row r="32" spans="1:6">
      <c r="A32" s="1">
        <v>46023</v>
      </c>
      <c r="B32" s="6" t="s">
        <v>6</v>
      </c>
      <c r="C32" s="9" t="s">
        <v>45</v>
      </c>
      <c r="D32" s="10" t="s">
        <v>46</v>
      </c>
      <c r="E32" s="2" t="s">
        <v>81</v>
      </c>
      <c r="F32" s="3">
        <v>154000</v>
      </c>
    </row>
    <row r="33" spans="1:6">
      <c r="A33" s="1">
        <v>46023</v>
      </c>
      <c r="B33" s="6" t="s">
        <v>6</v>
      </c>
      <c r="C33" s="9" t="s">
        <v>47</v>
      </c>
      <c r="D33" s="9" t="s">
        <v>48</v>
      </c>
      <c r="E33" s="2" t="s">
        <v>81</v>
      </c>
      <c r="F33" s="3">
        <v>210000</v>
      </c>
    </row>
    <row r="34" spans="1:6">
      <c r="A34" s="1">
        <v>46023</v>
      </c>
      <c r="B34" s="6" t="s">
        <v>6</v>
      </c>
      <c r="C34" s="9" t="s">
        <v>49</v>
      </c>
      <c r="D34" s="10" t="s">
        <v>50</v>
      </c>
      <c r="E34" s="2" t="s">
        <v>81</v>
      </c>
      <c r="F34" s="3">
        <v>5600000</v>
      </c>
    </row>
    <row r="35" spans="1:6">
      <c r="A35" s="1">
        <v>46023</v>
      </c>
      <c r="B35" s="6" t="s">
        <v>6</v>
      </c>
      <c r="C35" s="9" t="s">
        <v>71</v>
      </c>
      <c r="D35" s="10" t="s">
        <v>72</v>
      </c>
      <c r="E35" s="2" t="s">
        <v>81</v>
      </c>
      <c r="F35" s="3">
        <v>67000</v>
      </c>
    </row>
    <row r="36" spans="1:6">
      <c r="A36" s="1">
        <v>46023</v>
      </c>
      <c r="B36" s="6" t="s">
        <v>6</v>
      </c>
      <c r="C36" s="9" t="s">
        <v>51</v>
      </c>
      <c r="D36" s="10" t="s">
        <v>52</v>
      </c>
      <c r="E36" s="2" t="s">
        <v>81</v>
      </c>
      <c r="F36" s="3">
        <v>576000</v>
      </c>
    </row>
    <row r="37" spans="1:6">
      <c r="A37" s="1">
        <v>46023</v>
      </c>
      <c r="B37" s="6" t="s">
        <v>6</v>
      </c>
      <c r="C37" s="9" t="s">
        <v>53</v>
      </c>
      <c r="D37" s="10" t="s">
        <v>54</v>
      </c>
      <c r="E37" s="2" t="s">
        <v>81</v>
      </c>
      <c r="F37" s="3">
        <v>365000</v>
      </c>
    </row>
    <row r="38" spans="1:6">
      <c r="A38" s="1">
        <v>46023</v>
      </c>
      <c r="B38" s="6" t="s">
        <v>6</v>
      </c>
      <c r="C38" s="9" t="s">
        <v>55</v>
      </c>
      <c r="D38" s="10" t="s">
        <v>56</v>
      </c>
      <c r="E38" s="2" t="s">
        <v>81</v>
      </c>
      <c r="F38" s="3">
        <v>78400</v>
      </c>
    </row>
    <row r="39" spans="1:6">
      <c r="A39" s="1">
        <v>46023</v>
      </c>
      <c r="B39" s="6" t="s">
        <v>6</v>
      </c>
      <c r="C39" s="9" t="s">
        <v>73</v>
      </c>
      <c r="D39" s="11" t="s">
        <v>73</v>
      </c>
      <c r="E39" s="2" t="s">
        <v>81</v>
      </c>
      <c r="F39" s="3">
        <v>140000</v>
      </c>
    </row>
    <row r="40" spans="1:6">
      <c r="A40" s="1">
        <v>46023</v>
      </c>
      <c r="B40" s="6" t="s">
        <v>6</v>
      </c>
      <c r="C40" s="9" t="s">
        <v>57</v>
      </c>
      <c r="D40" s="11" t="s">
        <v>74</v>
      </c>
      <c r="E40" s="2" t="s">
        <v>81</v>
      </c>
      <c r="F40" s="3">
        <v>1700000</v>
      </c>
    </row>
    <row r="41" spans="1:6">
      <c r="A41" s="1">
        <v>46023</v>
      </c>
      <c r="B41" s="6" t="s">
        <v>66</v>
      </c>
      <c r="C41" s="12" t="s">
        <v>58</v>
      </c>
      <c r="D41" s="10" t="s">
        <v>59</v>
      </c>
      <c r="E41" s="2" t="s">
        <v>81</v>
      </c>
      <c r="F41" s="3">
        <v>78587544.25</v>
      </c>
    </row>
    <row r="42" spans="1:6">
      <c r="A42" s="1">
        <v>46023</v>
      </c>
      <c r="B42" s="6" t="s">
        <v>66</v>
      </c>
      <c r="C42" s="9" t="s">
        <v>60</v>
      </c>
      <c r="D42" s="10" t="s">
        <v>75</v>
      </c>
      <c r="E42" s="2" t="s">
        <v>81</v>
      </c>
      <c r="F42" s="3">
        <v>16285057</v>
      </c>
    </row>
    <row r="43" spans="1:6">
      <c r="A43" s="1">
        <v>46023</v>
      </c>
      <c r="B43" s="10" t="s">
        <v>66</v>
      </c>
      <c r="C43" s="9" t="s">
        <v>61</v>
      </c>
      <c r="D43" s="11" t="s">
        <v>76</v>
      </c>
      <c r="E43" s="2" t="s">
        <v>81</v>
      </c>
      <c r="F43" s="3">
        <v>4931612</v>
      </c>
    </row>
    <row r="44" spans="1:6">
      <c r="A44" s="1">
        <v>46023</v>
      </c>
      <c r="B44" s="10" t="s">
        <v>66</v>
      </c>
      <c r="C44" s="9" t="s">
        <v>41</v>
      </c>
      <c r="D44" s="11" t="s">
        <v>42</v>
      </c>
      <c r="E44" s="2" t="s">
        <v>81</v>
      </c>
      <c r="F44" s="3">
        <v>16040183.5</v>
      </c>
    </row>
    <row r="45" spans="1:6">
      <c r="A45" s="1">
        <v>46023</v>
      </c>
      <c r="B45" s="10" t="s">
        <v>66</v>
      </c>
      <c r="C45" s="9" t="s">
        <v>43</v>
      </c>
      <c r="D45" s="11" t="s">
        <v>44</v>
      </c>
      <c r="E45" s="2" t="s">
        <v>81</v>
      </c>
      <c r="F45" s="3">
        <v>8126888</v>
      </c>
    </row>
    <row r="46" spans="1:6">
      <c r="A46" s="1">
        <v>46023</v>
      </c>
      <c r="B46" s="10" t="s">
        <v>66</v>
      </c>
      <c r="C46" s="9" t="s">
        <v>47</v>
      </c>
      <c r="D46" s="11" t="s">
        <v>48</v>
      </c>
      <c r="E46" s="2" t="s">
        <v>81</v>
      </c>
      <c r="F46" s="3">
        <v>4022369.4</v>
      </c>
    </row>
    <row r="47" spans="1:6">
      <c r="A47" s="1">
        <v>46023</v>
      </c>
      <c r="B47" s="10" t="s">
        <v>66</v>
      </c>
      <c r="C47" s="9" t="s">
        <v>45</v>
      </c>
      <c r="D47" s="11" t="s">
        <v>46</v>
      </c>
      <c r="E47" s="2" t="s">
        <v>81</v>
      </c>
      <c r="F47" s="3">
        <v>14455</v>
      </c>
    </row>
    <row r="48" spans="1:6">
      <c r="A48" s="1">
        <v>46023</v>
      </c>
      <c r="B48" s="10" t="s">
        <v>66</v>
      </c>
      <c r="C48" s="9" t="s">
        <v>62</v>
      </c>
      <c r="D48" s="11" t="s">
        <v>62</v>
      </c>
      <c r="E48" s="2" t="s">
        <v>81</v>
      </c>
      <c r="F48" s="3">
        <v>177297488</v>
      </c>
    </row>
    <row r="49" spans="1:6">
      <c r="A49" s="1">
        <v>46023</v>
      </c>
      <c r="B49" s="10" t="s">
        <v>66</v>
      </c>
      <c r="C49" s="9" t="s">
        <v>63</v>
      </c>
      <c r="D49" s="11" t="s">
        <v>64</v>
      </c>
      <c r="E49" s="2" t="s">
        <v>81</v>
      </c>
      <c r="F49" s="4">
        <v>227516800</v>
      </c>
    </row>
    <row r="50" spans="1:6">
      <c r="A50" s="1">
        <v>46023</v>
      </c>
      <c r="B50" s="9" t="s">
        <v>66</v>
      </c>
      <c r="C50" s="9" t="s">
        <v>7</v>
      </c>
      <c r="D50" s="9" t="s">
        <v>69</v>
      </c>
      <c r="E50" s="2" t="s">
        <v>81</v>
      </c>
      <c r="F50" s="5">
        <v>15000000</v>
      </c>
    </row>
    <row r="51" spans="1:6">
      <c r="A51" s="1">
        <v>46023</v>
      </c>
      <c r="B51" s="9" t="s">
        <v>66</v>
      </c>
      <c r="C51" s="9" t="s">
        <v>9</v>
      </c>
      <c r="D51" s="9" t="s">
        <v>9</v>
      </c>
      <c r="E51" s="2" t="s">
        <v>81</v>
      </c>
      <c r="F51" s="4">
        <f>4*320*1*20740</f>
        <v>26547200</v>
      </c>
    </row>
    <row r="52" spans="1:6">
      <c r="A52" s="1">
        <v>46023</v>
      </c>
      <c r="B52" s="9" t="s">
        <v>66</v>
      </c>
      <c r="C52" s="9" t="s">
        <v>10</v>
      </c>
      <c r="D52" s="9" t="s">
        <v>10</v>
      </c>
      <c r="E52" s="2" t="s">
        <v>81</v>
      </c>
      <c r="F52" s="4">
        <v>2400000</v>
      </c>
    </row>
    <row r="53" spans="1:6">
      <c r="A53" s="1">
        <v>46023</v>
      </c>
      <c r="B53" s="9" t="s">
        <v>66</v>
      </c>
      <c r="C53" s="9" t="s">
        <v>12</v>
      </c>
      <c r="D53" s="9" t="s">
        <v>13</v>
      </c>
      <c r="E53" s="2" t="s">
        <v>81</v>
      </c>
      <c r="F53" s="6">
        <v>5800000</v>
      </c>
    </row>
    <row r="54" spans="1:6">
      <c r="A54" s="1">
        <v>46023</v>
      </c>
      <c r="B54" s="9" t="s">
        <v>66</v>
      </c>
      <c r="C54" s="9" t="s">
        <v>14</v>
      </c>
      <c r="D54" s="9" t="s">
        <v>15</v>
      </c>
      <c r="E54" s="2" t="s">
        <v>81</v>
      </c>
      <c r="F54" s="7">
        <f>6800000+6000000</f>
        <v>12800000</v>
      </c>
    </row>
    <row r="55" spans="1:6">
      <c r="A55" s="1">
        <v>46023</v>
      </c>
      <c r="B55" s="9" t="s">
        <v>66</v>
      </c>
      <c r="C55" s="9" t="s">
        <v>16</v>
      </c>
      <c r="D55" s="9" t="s">
        <v>77</v>
      </c>
      <c r="E55" s="2" t="s">
        <v>81</v>
      </c>
      <c r="F55" s="7">
        <v>3800000</v>
      </c>
    </row>
    <row r="56" spans="1:6">
      <c r="A56" s="1">
        <v>46023</v>
      </c>
      <c r="B56" s="9" t="s">
        <v>66</v>
      </c>
      <c r="C56" s="9" t="s">
        <v>18</v>
      </c>
      <c r="D56" s="9" t="s">
        <v>78</v>
      </c>
      <c r="E56" s="2" t="s">
        <v>81</v>
      </c>
      <c r="F56" s="7">
        <v>5000000</v>
      </c>
    </row>
    <row r="57" spans="1:6">
      <c r="A57" s="1">
        <v>46023</v>
      </c>
      <c r="B57" s="9" t="s">
        <v>66</v>
      </c>
      <c r="C57" s="9" t="s">
        <v>19</v>
      </c>
      <c r="D57" s="9" t="s">
        <v>79</v>
      </c>
      <c r="E57" s="2" t="s">
        <v>81</v>
      </c>
      <c r="F57" s="7">
        <v>800000</v>
      </c>
    </row>
    <row r="58" spans="1:6">
      <c r="A58" s="1">
        <v>46023</v>
      </c>
      <c r="B58" s="9" t="s">
        <v>66</v>
      </c>
      <c r="C58" s="9" t="s">
        <v>21</v>
      </c>
      <c r="D58" s="9" t="s">
        <v>22</v>
      </c>
      <c r="E58" s="2" t="s">
        <v>81</v>
      </c>
      <c r="F58" s="7">
        <f>1500000+1200000</f>
        <v>2700000</v>
      </c>
    </row>
    <row r="59" spans="1:6">
      <c r="A59" s="1">
        <v>46023</v>
      </c>
      <c r="B59" s="9" t="s">
        <v>66</v>
      </c>
      <c r="C59" s="9" t="s">
        <v>21</v>
      </c>
      <c r="D59" s="9" t="s">
        <v>65</v>
      </c>
      <c r="E59" s="2" t="s">
        <v>81</v>
      </c>
      <c r="F59" s="4">
        <v>3000000</v>
      </c>
    </row>
    <row r="60" spans="1:6">
      <c r="A60" s="1">
        <v>46023</v>
      </c>
      <c r="B60" s="15" t="s">
        <v>68</v>
      </c>
      <c r="C60" s="9" t="s">
        <v>26</v>
      </c>
      <c r="D60" s="10" t="s">
        <v>26</v>
      </c>
      <c r="E60" s="2" t="s">
        <v>81</v>
      </c>
      <c r="F60" s="4">
        <v>2000000</v>
      </c>
    </row>
    <row r="61" spans="1:6">
      <c r="A61" s="1">
        <v>46023</v>
      </c>
      <c r="B61" s="9" t="s">
        <v>66</v>
      </c>
      <c r="C61" s="9" t="s">
        <v>21</v>
      </c>
      <c r="D61" s="9" t="s">
        <v>80</v>
      </c>
      <c r="E61" s="2" t="s">
        <v>81</v>
      </c>
      <c r="F61" s="4">
        <v>500000</v>
      </c>
    </row>
    <row r="62" spans="1:6">
      <c r="A62" s="1">
        <v>46023</v>
      </c>
      <c r="B62" s="9" t="s">
        <v>66</v>
      </c>
      <c r="C62" s="10" t="s">
        <v>67</v>
      </c>
      <c r="D62" s="10" t="s">
        <v>67</v>
      </c>
      <c r="E62" s="2" t="s">
        <v>81</v>
      </c>
      <c r="F62" s="4">
        <v>2800000</v>
      </c>
    </row>
    <row r="63" spans="1:6">
      <c r="A63" s="1"/>
      <c r="B63" s="10"/>
      <c r="C63" s="10"/>
      <c r="D63" s="9"/>
      <c r="E63" s="2"/>
      <c r="F63" s="6"/>
    </row>
    <row r="64" spans="1:6">
      <c r="A64" s="1"/>
      <c r="B64" s="10"/>
      <c r="C64" s="9"/>
      <c r="D64" s="12"/>
      <c r="E64" s="2"/>
      <c r="F64" s="6"/>
    </row>
    <row r="65" spans="1:6">
      <c r="A65" s="1"/>
      <c r="B65" s="11"/>
      <c r="C65" s="11"/>
      <c r="D65" s="9"/>
      <c r="E65" s="2"/>
      <c r="F65" s="6"/>
    </row>
    <row r="66" spans="1:6">
      <c r="A66" s="1"/>
      <c r="B66" s="11"/>
      <c r="C66" s="11"/>
      <c r="D66" s="9"/>
      <c r="E66" s="2"/>
      <c r="F66" s="6"/>
    </row>
    <row r="67" spans="1:6">
      <c r="A67" s="1"/>
      <c r="B67" s="11"/>
      <c r="C67" s="11"/>
      <c r="D67" s="9"/>
      <c r="E67" s="2"/>
      <c r="F67" s="7"/>
    </row>
    <row r="68" spans="1:6">
      <c r="A68" s="1"/>
      <c r="B68" s="11"/>
      <c r="C68" s="11"/>
      <c r="D68" s="9"/>
      <c r="E68" s="2"/>
      <c r="F68" s="7"/>
    </row>
    <row r="69" spans="1:6">
      <c r="A69" s="1"/>
      <c r="B69" s="10"/>
      <c r="C69" s="10"/>
      <c r="D69" s="9"/>
      <c r="E69" s="2"/>
      <c r="F69" s="4"/>
    </row>
    <row r="70" spans="1:6">
      <c r="A70" s="1"/>
      <c r="B70" s="10"/>
      <c r="C70" s="10"/>
      <c r="D70" s="9"/>
      <c r="E70" s="2"/>
      <c r="F70" s="4"/>
    </row>
    <row r="71" spans="1:6">
      <c r="A71" s="1"/>
      <c r="B71" s="10"/>
      <c r="C71" s="10"/>
      <c r="D71" s="13"/>
      <c r="E71" s="2"/>
      <c r="F71" s="4"/>
    </row>
    <row r="72" spans="1:6">
      <c r="A72" s="1"/>
      <c r="B72" s="10"/>
      <c r="C72" s="10"/>
      <c r="D72" s="13"/>
      <c r="E72" s="2"/>
      <c r="F72" s="4"/>
    </row>
    <row r="73" spans="1:6">
      <c r="A73" s="1"/>
      <c r="B73" s="10"/>
      <c r="C73" s="10"/>
      <c r="D73" s="9"/>
      <c r="E73" s="2"/>
      <c r="F73" s="4"/>
    </row>
    <row r="74" spans="1:6">
      <c r="A74" s="1"/>
      <c r="B74" s="10"/>
      <c r="C74" s="10"/>
      <c r="D74" s="9"/>
      <c r="E74" s="2"/>
      <c r="F74" s="4"/>
    </row>
    <row r="75" spans="1:6">
      <c r="A75" s="1"/>
      <c r="B75" s="10"/>
      <c r="C75" s="10"/>
      <c r="D75" s="9"/>
      <c r="E75" s="2"/>
      <c r="F75" s="4"/>
    </row>
    <row r="76" spans="1:6">
      <c r="A76" s="1"/>
      <c r="B76" s="10"/>
      <c r="C76" s="10"/>
      <c r="D76" s="9"/>
      <c r="E76" s="2"/>
      <c r="F76" s="4"/>
    </row>
    <row r="77" spans="1:6">
      <c r="A77" s="1"/>
      <c r="B77" s="10"/>
      <c r="C77" s="10"/>
      <c r="D77" s="9"/>
      <c r="E77" s="2"/>
      <c r="F77" s="4"/>
    </row>
    <row r="78" spans="1:6">
      <c r="A78" s="1"/>
      <c r="B78" s="11"/>
      <c r="C78" s="11"/>
      <c r="D78" s="9"/>
      <c r="E78" s="2"/>
      <c r="F78" s="4"/>
    </row>
    <row r="79" spans="1:6">
      <c r="A79" s="1"/>
      <c r="B79" s="11"/>
      <c r="C79" s="11"/>
      <c r="D79" s="9"/>
      <c r="E79" s="2"/>
      <c r="F79" s="4"/>
    </row>
    <row r="80" spans="1:6">
      <c r="A80" s="1"/>
      <c r="B80" s="11"/>
      <c r="C80" s="11"/>
      <c r="D80" s="9"/>
      <c r="E80" s="2"/>
      <c r="F80" s="4"/>
    </row>
    <row r="81" spans="1:6">
      <c r="A81" s="1"/>
      <c r="B81" s="11"/>
      <c r="C81" s="11"/>
      <c r="D81" s="9"/>
      <c r="E81" s="2"/>
      <c r="F81" s="4"/>
    </row>
    <row r="82" spans="1:6">
      <c r="A82" s="1"/>
      <c r="B82" s="11"/>
      <c r="C82" s="11"/>
      <c r="D82" s="10"/>
      <c r="E82" s="2"/>
      <c r="F82" s="4"/>
    </row>
    <row r="83" spans="1:6">
      <c r="A83" s="1"/>
      <c r="B83" s="11"/>
      <c r="C83" s="11"/>
      <c r="D83" s="9"/>
      <c r="E83" s="2"/>
      <c r="F83" s="8"/>
    </row>
    <row r="84" spans="1:6">
      <c r="A84" s="1"/>
      <c r="B84" s="11"/>
      <c r="C84" s="11"/>
      <c r="D84" s="9"/>
      <c r="E84" s="2"/>
      <c r="F84" s="8"/>
    </row>
    <row r="85" spans="1:6">
      <c r="A85" s="1"/>
      <c r="B85" s="11"/>
      <c r="C85" s="11"/>
      <c r="D85" s="9"/>
      <c r="E85" s="2"/>
      <c r="F85" s="8"/>
    </row>
    <row r="86" spans="1:6">
      <c r="A86" s="1"/>
      <c r="B86" s="11"/>
      <c r="C86" s="11"/>
      <c r="D86" s="9"/>
      <c r="E86" s="2"/>
      <c r="F86" s="8"/>
    </row>
    <row r="87" spans="1:6">
      <c r="A87" s="1"/>
      <c r="B87" s="11"/>
      <c r="C87" s="11"/>
      <c r="D87" s="9"/>
      <c r="E87" s="2"/>
      <c r="F87" s="8"/>
    </row>
    <row r="88" spans="1:6">
      <c r="A88" s="1"/>
      <c r="B88" s="6"/>
      <c r="C88" s="10"/>
      <c r="D88" s="9"/>
      <c r="E88" s="2"/>
      <c r="F88" s="3"/>
    </row>
    <row r="89" spans="1:6">
      <c r="A89" s="1"/>
      <c r="B89" s="6"/>
      <c r="C89" s="9"/>
      <c r="D89" s="9"/>
      <c r="E89" s="2"/>
      <c r="F89" s="3"/>
    </row>
    <row r="90" spans="1:6">
      <c r="A90" s="1"/>
      <c r="B90" s="6"/>
      <c r="C90" s="10"/>
      <c r="D90" s="9"/>
      <c r="E90" s="2"/>
      <c r="F90" s="3"/>
    </row>
    <row r="91" spans="1:6">
      <c r="A91" s="1"/>
      <c r="B91" s="6"/>
      <c r="C91" s="10"/>
      <c r="D91" s="9"/>
      <c r="E91" s="2"/>
      <c r="F91" s="3"/>
    </row>
    <row r="92" spans="1:6">
      <c r="A92" s="1"/>
      <c r="B92" s="6"/>
      <c r="C92" s="10"/>
      <c r="D92" s="9"/>
      <c r="E92" s="2"/>
      <c r="F92" s="3"/>
    </row>
    <row r="93" spans="1:6">
      <c r="A93" s="1"/>
      <c r="B93" s="6"/>
      <c r="C93" s="10"/>
      <c r="D93" s="9"/>
      <c r="E93" s="2"/>
      <c r="F93" s="3"/>
    </row>
    <row r="94" spans="1:6">
      <c r="A94" s="1"/>
      <c r="B94" s="6"/>
      <c r="C94" s="10"/>
      <c r="D94" s="9"/>
      <c r="E94" s="2"/>
      <c r="F94" s="3"/>
    </row>
    <row r="95" spans="1:6">
      <c r="A95" s="1"/>
      <c r="B95" s="6"/>
      <c r="C95" s="11"/>
      <c r="D95" s="9"/>
      <c r="E95" s="2"/>
      <c r="F95" s="3"/>
    </row>
    <row r="96" spans="1:6">
      <c r="A96" s="1"/>
      <c r="B96" s="6"/>
      <c r="C96" s="11"/>
      <c r="D96" s="9"/>
      <c r="E96" s="2"/>
      <c r="F96" s="3"/>
    </row>
    <row r="97" spans="1:6">
      <c r="A97" s="1"/>
      <c r="B97" s="6"/>
      <c r="C97" s="11"/>
      <c r="D97" s="9"/>
      <c r="E97" s="2"/>
      <c r="F97" s="3"/>
    </row>
    <row r="98" spans="1:6">
      <c r="A98" s="1"/>
      <c r="B98" s="6"/>
      <c r="C98" s="10"/>
      <c r="D98" s="12"/>
      <c r="E98" s="2"/>
      <c r="F98" s="3"/>
    </row>
    <row r="99" spans="1:6">
      <c r="A99" s="1"/>
      <c r="B99" s="6"/>
      <c r="C99" s="11"/>
      <c r="D99" s="9"/>
      <c r="E99" s="2"/>
      <c r="F99" s="3"/>
    </row>
    <row r="100" spans="1:6">
      <c r="A100" s="1"/>
      <c r="B100" s="10"/>
      <c r="C100" s="11"/>
      <c r="D100" s="9"/>
      <c r="E100" s="2"/>
      <c r="F100" s="3"/>
    </row>
    <row r="101" spans="1:6">
      <c r="A101" s="1"/>
      <c r="B101" s="10"/>
      <c r="C101" s="11"/>
      <c r="D101" s="9"/>
      <c r="E101" s="2"/>
      <c r="F101" s="3"/>
    </row>
    <row r="102" spans="1:6">
      <c r="A102" s="1"/>
      <c r="B102" s="10"/>
      <c r="C102" s="11"/>
      <c r="D102" s="9"/>
      <c r="E102" s="2"/>
      <c r="F102" s="3"/>
    </row>
    <row r="103" spans="1:6">
      <c r="A103" s="1"/>
      <c r="B103" s="10"/>
      <c r="C103" s="10"/>
      <c r="D103" s="9"/>
      <c r="E103" s="2"/>
      <c r="F103" s="3"/>
    </row>
    <row r="104" spans="1:6">
      <c r="A104" s="1"/>
      <c r="B104" s="10"/>
      <c r="C104" s="9"/>
      <c r="D104" s="9"/>
      <c r="E104" s="2"/>
      <c r="F104" s="3"/>
    </row>
    <row r="105" spans="1:6">
      <c r="A105" s="1"/>
      <c r="B105" s="10"/>
      <c r="C105" s="9"/>
      <c r="D105" s="9"/>
      <c r="E105" s="2"/>
      <c r="F105" s="3"/>
    </row>
    <row r="106" spans="1:6">
      <c r="A106" s="1"/>
      <c r="B106" s="10"/>
      <c r="C106" s="9"/>
      <c r="D106" s="9"/>
      <c r="E106" s="2"/>
      <c r="F106" s="4"/>
    </row>
    <row r="107" spans="1:6">
      <c r="A107" s="1"/>
      <c r="B107" s="10"/>
      <c r="C107" s="9"/>
      <c r="D107" s="9"/>
      <c r="E107" s="2"/>
      <c r="F107" s="5"/>
    </row>
    <row r="108" spans="1:6">
      <c r="A108" s="1"/>
      <c r="B108" s="10"/>
      <c r="C108" s="9"/>
      <c r="D108" s="9"/>
      <c r="E108" s="2"/>
      <c r="F108" s="4"/>
    </row>
    <row r="109" spans="1:6">
      <c r="A109" s="1"/>
      <c r="B109" s="10"/>
      <c r="C109" s="9"/>
      <c r="D109" s="9"/>
      <c r="E109" s="2"/>
      <c r="F109" s="4"/>
    </row>
    <row r="110" spans="1:6">
      <c r="A110" s="1"/>
      <c r="B110" s="10"/>
      <c r="C110" s="9"/>
      <c r="D110" s="9"/>
      <c r="E110" s="2"/>
      <c r="F110" s="6"/>
    </row>
    <row r="111" spans="1:6">
      <c r="A111" s="1"/>
      <c r="B111" s="10"/>
      <c r="C111" s="9"/>
      <c r="D111" s="9"/>
      <c r="E111" s="2"/>
      <c r="F111" s="7"/>
    </row>
    <row r="112" spans="1:6">
      <c r="A112" s="1"/>
      <c r="B112" s="10"/>
      <c r="C112" s="9"/>
      <c r="D112" s="9"/>
      <c r="E112" s="2"/>
      <c r="F112" s="7"/>
    </row>
    <row r="113" spans="1:6">
      <c r="A113" s="1"/>
      <c r="B113" s="10"/>
      <c r="C113" s="9"/>
      <c r="D113" s="9"/>
      <c r="E113" s="2"/>
      <c r="F113" s="7"/>
    </row>
    <row r="114" spans="1:6">
      <c r="A114" s="1"/>
      <c r="B114" s="10"/>
      <c r="C114" s="12"/>
      <c r="D114" s="9"/>
      <c r="E114" s="2"/>
      <c r="F114" s="7"/>
    </row>
    <row r="115" spans="1:6">
      <c r="A115" s="1"/>
      <c r="B115" s="10"/>
      <c r="C115" s="9"/>
      <c r="D115" s="9"/>
      <c r="E115" s="2"/>
      <c r="F115" s="7"/>
    </row>
    <row r="116" spans="1:6">
      <c r="A116" s="1"/>
      <c r="B116" s="14"/>
      <c r="C116" s="9"/>
      <c r="D116" s="9"/>
      <c r="E116" s="2"/>
      <c r="F11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 홍주</dc:creator>
  <cp:lastModifiedBy>신 홍주</cp:lastModifiedBy>
  <dcterms:created xsi:type="dcterms:W3CDTF">2026-02-02T01:48:09Z</dcterms:created>
  <dcterms:modified xsi:type="dcterms:W3CDTF">2026-03-24T01:13:30Z</dcterms:modified>
</cp:coreProperties>
</file>