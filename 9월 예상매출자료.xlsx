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D368F9B3-3C8B-42F1-9DCB-F9BF934AA0AD}" xr6:coauthVersionLast="47" xr6:coauthVersionMax="47" xr10:uidLastSave="{00000000-0000-0000-0000-000000000000}"/>
  <bookViews>
    <workbookView xWindow="-110" yWindow="-110" windowWidth="19420" windowHeight="11500" activeTab="2" xr2:uid="{2C407BA7-61C6-4E8C-9750-0386996BC766}"/>
  </bookViews>
  <sheets>
    <sheet name="2월" sheetId="6" r:id="rId1"/>
    <sheet name="3월" sheetId="7" r:id="rId2"/>
    <sheet name="4월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8" l="1"/>
  <c r="C25" i="8"/>
  <c r="D25" i="7"/>
  <c r="C25" i="7"/>
  <c r="C10" i="6"/>
  <c r="G10" i="6"/>
  <c r="D25" i="6"/>
  <c r="C25" i="6"/>
</calcChain>
</file>

<file path=xl/sharedStrings.xml><?xml version="1.0" encoding="utf-8"?>
<sst xmlns="http://schemas.openxmlformats.org/spreadsheetml/2006/main" count="78" uniqueCount="31">
  <si>
    <t>NO.</t>
    <phoneticPr fontId="2" type="noConversion"/>
  </si>
  <si>
    <t>특이사항</t>
    <phoneticPr fontId="2" type="noConversion"/>
  </si>
  <si>
    <t>비고</t>
    <phoneticPr fontId="2" type="noConversion"/>
  </si>
  <si>
    <t>합계</t>
    <phoneticPr fontId="2" type="noConversion"/>
  </si>
  <si>
    <t>업체명</t>
    <phoneticPr fontId="2" type="noConversion"/>
  </si>
  <si>
    <t>(주)컬리</t>
    <phoneticPr fontId="2" type="noConversion"/>
  </si>
  <si>
    <t>(주)버킷플레이스</t>
  </si>
  <si>
    <t>(주)비바리퍼블리카</t>
    <phoneticPr fontId="2" type="noConversion"/>
  </si>
  <si>
    <t>(주)씨제이이엔엠</t>
    <phoneticPr fontId="2" type="noConversion"/>
  </si>
  <si>
    <t>자사몰_스크럽대디</t>
    <phoneticPr fontId="2" type="noConversion"/>
  </si>
  <si>
    <t>25.09 예상매출</t>
    <phoneticPr fontId="2" type="noConversion"/>
  </si>
  <si>
    <t>ex)쿠폰할인금액, 판매수수료</t>
    <phoneticPr fontId="2" type="noConversion"/>
  </si>
  <si>
    <t>판매장려금</t>
    <phoneticPr fontId="2" type="noConversion"/>
  </si>
  <si>
    <t>판매수수료
(매출차감x)</t>
    <phoneticPr fontId="2" type="noConversion"/>
  </si>
  <si>
    <t>광고/행사비</t>
    <phoneticPr fontId="2" type="noConversion"/>
  </si>
  <si>
    <t>매출 (직접)차감금액</t>
    <phoneticPr fontId="2" type="noConversion"/>
  </si>
  <si>
    <t>기타 비용</t>
    <phoneticPr fontId="2" type="noConversion"/>
  </si>
  <si>
    <r>
      <t>* 2025년 9월 예상 매출액</t>
    </r>
    <r>
      <rPr>
        <b/>
        <sz val="10"/>
        <color theme="1"/>
        <rFont val="굴림"/>
        <family val="3"/>
        <charset val="129"/>
      </rPr>
      <t>_스크럽대디</t>
    </r>
    <phoneticPr fontId="2" type="noConversion"/>
  </si>
  <si>
    <t>스토어팜_스크럽대디</t>
    <phoneticPr fontId="2" type="noConversion"/>
  </si>
  <si>
    <t>쿠팡wing</t>
    <phoneticPr fontId="2" type="noConversion"/>
  </si>
  <si>
    <t>(주)씨제이올리브영</t>
    <phoneticPr fontId="2" type="noConversion"/>
  </si>
  <si>
    <t>(주)무신사</t>
    <phoneticPr fontId="2" type="noConversion"/>
  </si>
  <si>
    <t>(주)폼하이테크</t>
    <phoneticPr fontId="2" type="noConversion"/>
  </si>
  <si>
    <t>온라인(비정기)</t>
    <phoneticPr fontId="2" type="noConversion"/>
  </si>
  <si>
    <t>★ 확인 필요
1. 9월 홈쇼핑 진행 여부에 따라 매출 반영
2. 홈쇼핑 진행 안 할 경우 예상에서 삭제해야 함
3. 9월 5일 중 반영 여부 결정</t>
    <phoneticPr fontId="2" type="noConversion"/>
  </si>
  <si>
    <t>1. 스토어팜+카페24 합친 결과
2. 10월 전달 자료에는 분리해서 전달 예정</t>
    <phoneticPr fontId="2" type="noConversion"/>
  </si>
  <si>
    <r>
      <t>* 2025</t>
    </r>
    <r>
      <rPr>
        <b/>
        <sz val="10"/>
        <color theme="1"/>
        <rFont val="맑은 고딕"/>
        <family val="3"/>
        <charset val="129"/>
      </rPr>
      <t>년</t>
    </r>
    <r>
      <rPr>
        <b/>
        <sz val="10"/>
        <color theme="1"/>
        <rFont val="Courier New"/>
        <family val="3"/>
      </rPr>
      <t xml:space="preserve"> 10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Courier New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예상</t>
    </r>
    <r>
      <rPr>
        <b/>
        <sz val="10"/>
        <color theme="1"/>
        <rFont val="Courier New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매출액</t>
    </r>
    <r>
      <rPr>
        <b/>
        <sz val="10"/>
        <color theme="1"/>
        <rFont val="굴림"/>
        <family val="3"/>
        <charset val="129"/>
      </rPr>
      <t>_스크럽대디</t>
    </r>
    <phoneticPr fontId="2" type="noConversion"/>
  </si>
  <si>
    <t>1. 연휴로 인해, 판매량 감소 예상
2. 평월 대비 약 1/3 감소한 것으로 적용</t>
    <phoneticPr fontId="2" type="noConversion"/>
  </si>
  <si>
    <r>
      <t>* 2025</t>
    </r>
    <r>
      <rPr>
        <b/>
        <sz val="10"/>
        <color theme="1"/>
        <rFont val="맑은 고딕"/>
        <family val="3"/>
        <charset val="129"/>
      </rPr>
      <t>년</t>
    </r>
    <r>
      <rPr>
        <b/>
        <sz val="10"/>
        <color theme="1"/>
        <rFont val="Courier New"/>
        <family val="3"/>
      </rPr>
      <t xml:space="preserve"> 11</t>
    </r>
    <r>
      <rPr>
        <b/>
        <sz val="10"/>
        <color theme="1"/>
        <rFont val="맑은 고딕"/>
        <family val="3"/>
        <charset val="129"/>
      </rPr>
      <t>월</t>
    </r>
    <r>
      <rPr>
        <b/>
        <sz val="10"/>
        <color theme="1"/>
        <rFont val="Courier New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예상</t>
    </r>
    <r>
      <rPr>
        <b/>
        <sz val="10"/>
        <color theme="1"/>
        <rFont val="Courier New"/>
        <family val="3"/>
      </rPr>
      <t xml:space="preserve"> </t>
    </r>
    <r>
      <rPr>
        <b/>
        <sz val="10"/>
        <color theme="1"/>
        <rFont val="맑은 고딕"/>
        <family val="3"/>
        <charset val="129"/>
      </rPr>
      <t>매출액</t>
    </r>
    <r>
      <rPr>
        <b/>
        <sz val="10"/>
        <color theme="1"/>
        <rFont val="굴림"/>
        <family val="3"/>
        <charset val="129"/>
      </rPr>
      <t>_스크럽대디</t>
    </r>
    <phoneticPr fontId="2" type="noConversion"/>
  </si>
  <si>
    <t>매출의 20%</t>
    <phoneticPr fontId="2" type="noConversion"/>
  </si>
  <si>
    <t>채널별 수수료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</si>
</sst>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(* #,##0_);_(* \(#,##0\);_(* &quot;-&quot;_);_(@_)"/>
    <numFmt numFmtId="177" formatCode="0.0%"/>
  </numFmts>
  <fonts count="16">
    <font>
      <sz val="12"/>
      <color theme="1"/>
      <name val="NanumGothicOTFLight"/>
      <family val="2"/>
      <charset val="129"/>
    </font>
    <font>
      <sz val="12"/>
      <color theme="1"/>
      <name val="NanumGothicOTFLight"/>
      <family val="2"/>
      <charset val="129"/>
    </font>
    <font>
      <sz val="8"/>
      <name val="NanumGothicOTFLight"/>
      <family val="2"/>
      <charset val="129"/>
    </font>
    <font>
      <sz val="10"/>
      <color rgb="FF000000"/>
      <name val="맑은 고딕"/>
      <family val="2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1"/>
      <name val="맑은고딕"/>
      <family val="3"/>
      <charset val="129"/>
    </font>
    <font>
      <sz val="10"/>
      <color theme="1"/>
      <name val="맑은고딕"/>
      <family val="3"/>
      <charset val="129"/>
    </font>
    <font>
      <sz val="10"/>
      <name val="맑은고딕"/>
      <family val="3"/>
      <charset val="129"/>
    </font>
    <font>
      <b/>
      <sz val="10"/>
      <color rgb="FFFF0000"/>
      <name val="맑은고딕"/>
      <family val="3"/>
      <charset val="129"/>
    </font>
    <font>
      <b/>
      <sz val="10"/>
      <color theme="1"/>
      <name val="굴림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Courier New"/>
      <family val="3"/>
    </font>
    <font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7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76" fontId="7" fillId="2" borderId="0" xfId="1" applyFont="1" applyFill="1" applyAlignment="1">
      <alignment horizontal="center" vertical="center"/>
    </xf>
    <xf numFmtId="0" fontId="7" fillId="2" borderId="0" xfId="0" applyFont="1" applyFill="1">
      <alignment vertical="center"/>
    </xf>
    <xf numFmtId="176" fontId="7" fillId="2" borderId="6" xfId="1" applyFont="1" applyFill="1" applyBorder="1" applyAlignment="1">
      <alignment horizontal="center" vertical="center"/>
    </xf>
    <xf numFmtId="176" fontId="7" fillId="2" borderId="5" xfId="1" applyFont="1" applyFill="1" applyBorder="1" applyAlignment="1">
      <alignment horizontal="center" vertical="center"/>
    </xf>
    <xf numFmtId="176" fontId="7" fillId="2" borderId="5" xfId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176" fontId="8" fillId="2" borderId="6" xfId="1" applyFont="1" applyFill="1" applyBorder="1">
      <alignment vertical="center"/>
    </xf>
    <xf numFmtId="176" fontId="8" fillId="2" borderId="6" xfId="1" applyFont="1" applyFill="1" applyBorder="1" applyAlignment="1">
      <alignment vertical="center" wrapText="1"/>
    </xf>
    <xf numFmtId="177" fontId="8" fillId="2" borderId="6" xfId="2" applyNumberFormat="1" applyFont="1" applyFill="1" applyBorder="1" applyAlignment="1">
      <alignment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vertical="center" wrapText="1"/>
    </xf>
    <xf numFmtId="9" fontId="8" fillId="2" borderId="6" xfId="2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176" fontId="8" fillId="0" borderId="6" xfId="1" applyFont="1" applyFill="1" applyBorder="1">
      <alignment vertical="center"/>
    </xf>
    <xf numFmtId="176" fontId="8" fillId="0" borderId="6" xfId="1" applyFont="1" applyFill="1" applyBorder="1" applyAlignment="1">
      <alignment vertical="center" wrapText="1"/>
    </xf>
    <xf numFmtId="9" fontId="8" fillId="0" borderId="6" xfId="2" applyFont="1" applyFill="1" applyBorder="1" applyAlignment="1">
      <alignment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0" xfId="0" applyFont="1">
      <alignment vertical="center"/>
    </xf>
    <xf numFmtId="0" fontId="9" fillId="2" borderId="6" xfId="0" applyFont="1" applyFill="1" applyBorder="1" applyAlignment="1">
      <alignment horizontal="left" vertical="center" wrapText="1"/>
    </xf>
    <xf numFmtId="0" fontId="8" fillId="2" borderId="7" xfId="3" applyFont="1" applyFill="1" applyBorder="1" applyAlignment="1">
      <alignment horizontal="center" vertical="center"/>
    </xf>
    <xf numFmtId="0" fontId="8" fillId="2" borderId="8" xfId="3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center" vertical="center"/>
    </xf>
    <xf numFmtId="0" fontId="8" fillId="3" borderId="7" xfId="3" applyFont="1" applyFill="1" applyBorder="1" applyAlignment="1">
      <alignment horizontal="center" vertical="center"/>
    </xf>
    <xf numFmtId="0" fontId="8" fillId="3" borderId="8" xfId="3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76" fontId="7" fillId="3" borderId="0" xfId="1" applyFont="1" applyFill="1" applyAlignment="1">
      <alignment horizontal="center" vertical="center"/>
    </xf>
    <xf numFmtId="176" fontId="7" fillId="3" borderId="5" xfId="1" applyFont="1" applyFill="1" applyBorder="1" applyAlignment="1">
      <alignment horizontal="center" vertical="center"/>
    </xf>
    <xf numFmtId="176" fontId="8" fillId="3" borderId="6" xfId="1" applyFont="1" applyFill="1" applyBorder="1">
      <alignment vertical="center"/>
    </xf>
    <xf numFmtId="176" fontId="7" fillId="3" borderId="6" xfId="1" applyFont="1" applyFill="1" applyBorder="1" applyAlignment="1">
      <alignment horizontal="center" vertical="center"/>
    </xf>
    <xf numFmtId="176" fontId="7" fillId="3" borderId="5" xfId="1" applyFont="1" applyFill="1" applyBorder="1" applyAlignment="1">
      <alignment horizontal="center" vertical="center" wrapText="1"/>
    </xf>
    <xf numFmtId="176" fontId="8" fillId="3" borderId="6" xfId="1" applyFont="1" applyFill="1" applyBorder="1" applyAlignment="1">
      <alignment vertical="center" wrapText="1"/>
    </xf>
    <xf numFmtId="176" fontId="15" fillId="3" borderId="6" xfId="1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76" fontId="7" fillId="3" borderId="1" xfId="1" applyFont="1" applyFill="1" applyBorder="1" applyAlignment="1">
      <alignment horizontal="center" vertical="center"/>
    </xf>
    <xf numFmtId="176" fontId="7" fillId="3" borderId="5" xfId="1" applyFont="1" applyFill="1" applyBorder="1" applyAlignment="1">
      <alignment horizontal="center" vertical="center"/>
    </xf>
    <xf numFmtId="176" fontId="11" fillId="2" borderId="2" xfId="1" applyFont="1" applyFill="1" applyBorder="1" applyAlignment="1">
      <alignment horizontal="center" vertical="center"/>
    </xf>
    <xf numFmtId="176" fontId="7" fillId="2" borderId="3" xfId="1" applyFont="1" applyFill="1" applyBorder="1" applyAlignment="1">
      <alignment horizontal="center" vertical="center"/>
    </xf>
    <xf numFmtId="176" fontId="7" fillId="2" borderId="4" xfId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/>
    </xf>
    <xf numFmtId="176" fontId="7" fillId="2" borderId="5" xfId="1" applyFont="1" applyFill="1" applyBorder="1" applyAlignment="1">
      <alignment horizontal="center" vertical="center"/>
    </xf>
  </cellXfs>
  <cellStyles count="7">
    <cellStyle name="백분율 2" xfId="2" xr:uid="{94BF86E0-D9B1-4C00-ABB6-1BFDE0E10674}"/>
    <cellStyle name="쉼표 [0]" xfId="1" builtinId="6"/>
    <cellStyle name="쉼표 [0] 2" xfId="4" xr:uid="{BBED89E5-9E05-4C05-819E-871767B97F10}"/>
    <cellStyle name="쉼표 [0] 4 2 2" xfId="6" xr:uid="{218EB475-5DF5-4AE5-900F-C4B2D1A2A88B}"/>
    <cellStyle name="쉼표 [0] 5" xfId="5" xr:uid="{8A6A6978-ABC4-48F8-B14D-DACA9DA1FE74}"/>
    <cellStyle name="표준" xfId="0" builtinId="0"/>
    <cellStyle name="표준 2" xfId="3" xr:uid="{4F43D727-94D2-4D0E-BDFF-C8BD22EC2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11C07-1F12-4066-A5B5-8C43BFE3C5E7}">
  <sheetPr>
    <pageSetUpPr fitToPage="1"/>
  </sheetPr>
  <dimension ref="A1:I27"/>
  <sheetViews>
    <sheetView view="pageBreakPreview" zoomScale="92" zoomScaleNormal="100" zoomScaleSheetLayoutView="100" workbookViewId="0">
      <selection activeCell="E5" sqref="E5"/>
    </sheetView>
  </sheetViews>
  <sheetFormatPr defaultColWidth="8.84375" defaultRowHeight="26.25" customHeight="1"/>
  <cols>
    <col min="1" max="1" width="5.69140625" style="2" customWidth="1"/>
    <col min="2" max="2" width="20.07421875" style="26" customWidth="1"/>
    <col min="3" max="3" width="22.69140625" style="30" customWidth="1"/>
    <col min="4" max="4" width="27" style="3" customWidth="1"/>
    <col min="5" max="5" width="13.84375" style="3" customWidth="1"/>
    <col min="6" max="6" width="13.84375" style="30" customWidth="1"/>
    <col min="7" max="7" width="12.84375" style="30" customWidth="1"/>
    <col min="8" max="8" width="26.3046875" style="2" customWidth="1"/>
    <col min="9" max="9" width="42.69140625" style="4" customWidth="1"/>
    <col min="10" max="11" width="10.765625" style="4" bestFit="1" customWidth="1"/>
    <col min="12" max="16384" width="8.84375" style="4"/>
  </cols>
  <sheetData>
    <row r="1" spans="1:9" ht="26.25" customHeight="1">
      <c r="A1" s="1" t="s">
        <v>17</v>
      </c>
      <c r="D1" s="2"/>
      <c r="E1" s="2"/>
      <c r="F1" s="26"/>
      <c r="G1" s="26"/>
      <c r="H1" s="4"/>
    </row>
    <row r="2" spans="1:9" ht="26.25" customHeight="1">
      <c r="A2" s="37" t="s">
        <v>0</v>
      </c>
      <c r="B2" s="40" t="s">
        <v>4</v>
      </c>
      <c r="C2" s="42" t="s">
        <v>10</v>
      </c>
      <c r="D2" s="5" t="s">
        <v>15</v>
      </c>
      <c r="E2" s="44" t="s">
        <v>16</v>
      </c>
      <c r="F2" s="45"/>
      <c r="G2" s="46"/>
      <c r="H2" s="37" t="s">
        <v>1</v>
      </c>
      <c r="I2" s="37" t="s">
        <v>2</v>
      </c>
    </row>
    <row r="3" spans="1:9" ht="26.25" customHeight="1">
      <c r="A3" s="38"/>
      <c r="B3" s="41"/>
      <c r="C3" s="43"/>
      <c r="D3" s="5" t="s">
        <v>11</v>
      </c>
      <c r="E3" s="6" t="s">
        <v>12</v>
      </c>
      <c r="F3" s="31" t="s">
        <v>14</v>
      </c>
      <c r="G3" s="34" t="s">
        <v>13</v>
      </c>
      <c r="H3" s="38"/>
      <c r="I3" s="38"/>
    </row>
    <row r="4" spans="1:9" ht="26.25" customHeight="1">
      <c r="A4" s="8">
        <v>1</v>
      </c>
      <c r="B4" s="27" t="s">
        <v>18</v>
      </c>
      <c r="C4" s="32"/>
      <c r="D4" s="10"/>
      <c r="E4" s="11"/>
      <c r="F4" s="36" t="s">
        <v>29</v>
      </c>
      <c r="G4" s="36" t="s">
        <v>30</v>
      </c>
      <c r="H4" s="12"/>
      <c r="I4" s="13"/>
    </row>
    <row r="5" spans="1:9" ht="26.25" customHeight="1">
      <c r="A5" s="8">
        <v>2</v>
      </c>
      <c r="B5" s="27" t="s">
        <v>9</v>
      </c>
      <c r="C5" s="32">
        <v>68336995</v>
      </c>
      <c r="D5" s="10"/>
      <c r="E5" s="14"/>
      <c r="F5" s="35"/>
      <c r="G5" s="35">
        <v>2255121</v>
      </c>
      <c r="H5" s="25" t="s">
        <v>25</v>
      </c>
      <c r="I5" s="13"/>
    </row>
    <row r="6" spans="1:9" ht="26.25" customHeight="1">
      <c r="A6" s="8">
        <v>3</v>
      </c>
      <c r="B6" s="27" t="s">
        <v>20</v>
      </c>
      <c r="C6" s="32">
        <v>16234096</v>
      </c>
      <c r="D6" s="10"/>
      <c r="E6" s="14"/>
      <c r="F6" s="35"/>
      <c r="G6" s="35"/>
      <c r="H6" s="12"/>
      <c r="I6" s="13"/>
    </row>
    <row r="7" spans="1:9" ht="26.25" customHeight="1">
      <c r="A7" s="8">
        <v>4</v>
      </c>
      <c r="B7" s="27" t="s">
        <v>21</v>
      </c>
      <c r="C7" s="32">
        <v>8564355</v>
      </c>
      <c r="D7" s="10"/>
      <c r="E7" s="14"/>
      <c r="F7" s="35"/>
      <c r="G7" s="35">
        <v>2141089</v>
      </c>
      <c r="H7" s="12"/>
      <c r="I7" s="13"/>
    </row>
    <row r="8" spans="1:9" ht="26.25" customHeight="1">
      <c r="A8" s="8">
        <v>5</v>
      </c>
      <c r="B8" s="27" t="s">
        <v>5</v>
      </c>
      <c r="C8" s="32">
        <v>13853768</v>
      </c>
      <c r="D8" s="10"/>
      <c r="E8" s="14"/>
      <c r="F8" s="35"/>
      <c r="G8" s="35">
        <v>4848819</v>
      </c>
      <c r="H8" s="12"/>
      <c r="I8" s="13"/>
    </row>
    <row r="9" spans="1:9" s="21" customFormat="1" ht="26.25" customHeight="1">
      <c r="A9" s="15">
        <v>6</v>
      </c>
      <c r="B9" s="27" t="s">
        <v>6</v>
      </c>
      <c r="C9" s="32">
        <v>8496481</v>
      </c>
      <c r="D9" s="17"/>
      <c r="E9" s="18"/>
      <c r="F9" s="35"/>
      <c r="G9" s="35">
        <v>1359437</v>
      </c>
      <c r="H9" s="19"/>
      <c r="I9" s="20"/>
    </row>
    <row r="10" spans="1:9" ht="26.25" customHeight="1">
      <c r="A10" s="8">
        <v>7</v>
      </c>
      <c r="B10" s="27" t="s">
        <v>8</v>
      </c>
      <c r="C10" s="32">
        <f>49900*3000/1.1</f>
        <v>136090909.09090909</v>
      </c>
      <c r="D10" s="10"/>
      <c r="E10" s="14"/>
      <c r="F10" s="35"/>
      <c r="G10" s="35">
        <f>C10*40%</f>
        <v>54436363.63636364</v>
      </c>
      <c r="H10" s="25" t="s">
        <v>24</v>
      </c>
      <c r="I10" s="13"/>
    </row>
    <row r="11" spans="1:9" ht="26.25" customHeight="1">
      <c r="A11" s="8">
        <v>8</v>
      </c>
      <c r="B11" s="27" t="s">
        <v>7</v>
      </c>
      <c r="C11" s="32">
        <v>97364</v>
      </c>
      <c r="D11" s="10"/>
      <c r="E11" s="14"/>
      <c r="F11" s="35"/>
      <c r="G11" s="35">
        <v>10710</v>
      </c>
      <c r="H11" s="12"/>
      <c r="I11" s="13"/>
    </row>
    <row r="12" spans="1:9" ht="26.25" customHeight="1">
      <c r="A12" s="8">
        <v>9</v>
      </c>
      <c r="B12" s="27" t="s">
        <v>22</v>
      </c>
      <c r="C12" s="32">
        <v>240586128</v>
      </c>
      <c r="D12" s="10"/>
      <c r="E12" s="14"/>
      <c r="F12" s="35"/>
      <c r="G12" s="35"/>
      <c r="H12" s="12"/>
      <c r="I12" s="13"/>
    </row>
    <row r="13" spans="1:9" ht="26.25" customHeight="1">
      <c r="A13" s="8">
        <v>10</v>
      </c>
      <c r="B13" s="27" t="s">
        <v>19</v>
      </c>
      <c r="C13" s="32"/>
      <c r="D13" s="10"/>
      <c r="E13" s="14"/>
      <c r="F13" s="35"/>
      <c r="G13" s="35"/>
      <c r="H13" s="22"/>
      <c r="I13" s="13"/>
    </row>
    <row r="14" spans="1:9" ht="26.25" customHeight="1">
      <c r="A14" s="8">
        <v>11</v>
      </c>
      <c r="B14" s="27" t="s">
        <v>23</v>
      </c>
      <c r="C14" s="32"/>
      <c r="D14" s="10"/>
      <c r="E14" s="14"/>
      <c r="F14" s="35"/>
      <c r="G14" s="35"/>
      <c r="H14" s="12"/>
      <c r="I14" s="13"/>
    </row>
    <row r="15" spans="1:9" ht="26.25" customHeight="1">
      <c r="A15" s="8">
        <v>12</v>
      </c>
      <c r="B15" s="27"/>
      <c r="C15" s="32"/>
      <c r="D15" s="10"/>
      <c r="E15" s="14"/>
      <c r="F15" s="35"/>
      <c r="G15" s="35"/>
      <c r="H15" s="12"/>
      <c r="I15" s="13"/>
    </row>
    <row r="16" spans="1:9" ht="26.25" customHeight="1">
      <c r="A16" s="8">
        <v>13</v>
      </c>
      <c r="B16" s="27"/>
      <c r="C16" s="32"/>
      <c r="D16" s="10"/>
      <c r="E16" s="14"/>
      <c r="F16" s="35"/>
      <c r="G16" s="35"/>
      <c r="H16" s="12"/>
      <c r="I16" s="13"/>
    </row>
    <row r="17" spans="1:9" ht="26.25" customHeight="1">
      <c r="A17" s="8">
        <v>14</v>
      </c>
      <c r="B17" s="27"/>
      <c r="C17" s="32"/>
      <c r="D17" s="10"/>
      <c r="E17" s="14"/>
      <c r="F17" s="35"/>
      <c r="G17" s="35"/>
      <c r="H17" s="12"/>
      <c r="I17" s="13"/>
    </row>
    <row r="18" spans="1:9" ht="26.25" customHeight="1">
      <c r="A18" s="8">
        <v>15</v>
      </c>
      <c r="B18" s="27"/>
      <c r="C18" s="32"/>
      <c r="D18" s="10"/>
      <c r="E18" s="14"/>
      <c r="F18" s="35"/>
      <c r="G18" s="35"/>
      <c r="H18" s="12"/>
      <c r="I18" s="13"/>
    </row>
    <row r="19" spans="1:9" ht="26.25" customHeight="1">
      <c r="A19" s="8">
        <v>16</v>
      </c>
      <c r="B19" s="28"/>
      <c r="C19" s="32"/>
      <c r="D19" s="10"/>
      <c r="E19" s="14"/>
      <c r="F19" s="35"/>
      <c r="G19" s="35"/>
      <c r="H19" s="12"/>
      <c r="I19" s="13"/>
    </row>
    <row r="20" spans="1:9" ht="26.25" customHeight="1">
      <c r="A20" s="8">
        <v>17</v>
      </c>
      <c r="B20" s="29"/>
      <c r="C20" s="32"/>
      <c r="D20" s="10"/>
      <c r="E20" s="14"/>
      <c r="F20" s="35"/>
      <c r="G20" s="35"/>
      <c r="H20" s="12"/>
      <c r="I20" s="13"/>
    </row>
    <row r="21" spans="1:9" ht="26.25" customHeight="1">
      <c r="A21" s="8">
        <v>18</v>
      </c>
      <c r="B21" s="29"/>
      <c r="C21" s="32"/>
      <c r="D21" s="10"/>
      <c r="E21" s="14"/>
      <c r="F21" s="35"/>
      <c r="G21" s="35"/>
      <c r="H21" s="12"/>
      <c r="I21" s="13"/>
    </row>
    <row r="22" spans="1:9" ht="26.25" customHeight="1">
      <c r="A22" s="8">
        <v>19</v>
      </c>
      <c r="B22" s="29"/>
      <c r="C22" s="32"/>
      <c r="D22" s="10"/>
      <c r="E22" s="14"/>
      <c r="F22" s="35"/>
      <c r="G22" s="35"/>
      <c r="H22" s="12"/>
      <c r="I22" s="13"/>
    </row>
    <row r="23" spans="1:9" ht="26.25" customHeight="1">
      <c r="A23" s="8">
        <v>20</v>
      </c>
      <c r="B23" s="29"/>
      <c r="C23" s="32"/>
      <c r="D23" s="10"/>
      <c r="E23" s="14"/>
      <c r="F23" s="35"/>
      <c r="G23" s="35"/>
      <c r="H23" s="22"/>
      <c r="I23" s="13"/>
    </row>
    <row r="24" spans="1:9" ht="26.25" customHeight="1">
      <c r="A24" s="8">
        <v>21</v>
      </c>
      <c r="B24" s="29"/>
      <c r="C24" s="32"/>
      <c r="D24" s="10"/>
      <c r="E24" s="14"/>
      <c r="F24" s="35"/>
      <c r="G24" s="35"/>
      <c r="H24" s="12"/>
      <c r="I24" s="13"/>
    </row>
    <row r="25" spans="1:9" ht="26.25" customHeight="1">
      <c r="A25" s="39" t="s">
        <v>3</v>
      </c>
      <c r="B25" s="39"/>
      <c r="C25" s="33">
        <f>SUM(C4:C24)</f>
        <v>492260096.09090912</v>
      </c>
      <c r="D25" s="5">
        <f>SUM(D4:D24)</f>
        <v>0</v>
      </c>
      <c r="E25" s="5"/>
      <c r="F25" s="33"/>
      <c r="G25" s="33"/>
      <c r="H25" s="8"/>
      <c r="I25" s="8"/>
    </row>
    <row r="26" spans="1:9" s="2" customFormat="1" ht="26.25" customHeight="1">
      <c r="B26" s="26"/>
      <c r="C26" s="30"/>
      <c r="D26" s="3"/>
      <c r="E26" s="3"/>
      <c r="F26" s="30"/>
      <c r="G26" s="30"/>
      <c r="I26" s="4"/>
    </row>
    <row r="27" spans="1:9" s="2" customFormat="1" ht="26.25" customHeight="1">
      <c r="B27" s="26"/>
      <c r="C27" s="30"/>
      <c r="D27" s="3"/>
      <c r="E27" s="3"/>
      <c r="F27" s="30"/>
      <c r="G27" s="30"/>
      <c r="I27" s="4"/>
    </row>
  </sheetData>
  <mergeCells count="7">
    <mergeCell ref="H2:H3"/>
    <mergeCell ref="I2:I3"/>
    <mergeCell ref="A25:B25"/>
    <mergeCell ref="A2:A3"/>
    <mergeCell ref="B2:B3"/>
    <mergeCell ref="C2:C3"/>
    <mergeCell ref="E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0A72-94CC-40A3-AA9A-67983974FB56}">
  <sheetPr>
    <pageSetUpPr fitToPage="1"/>
  </sheetPr>
  <dimension ref="A1:I27"/>
  <sheetViews>
    <sheetView view="pageBreakPreview" zoomScale="115" zoomScaleNormal="100" zoomScaleSheetLayoutView="115" workbookViewId="0">
      <selection activeCell="H5" sqref="H5"/>
    </sheetView>
  </sheetViews>
  <sheetFormatPr defaultColWidth="8.84375" defaultRowHeight="26.25" customHeight="1"/>
  <cols>
    <col min="1" max="1" width="5.69140625" style="2" customWidth="1"/>
    <col min="2" max="2" width="20.07421875" style="2" customWidth="1"/>
    <col min="3" max="3" width="22.69140625" style="3" customWidth="1"/>
    <col min="4" max="4" width="27" style="3" customWidth="1"/>
    <col min="5" max="6" width="13.84375" style="3" customWidth="1"/>
    <col min="7" max="7" width="12.84375" style="3" customWidth="1"/>
    <col min="8" max="8" width="26.3046875" style="2" customWidth="1"/>
    <col min="9" max="9" width="42.69140625" style="4" customWidth="1"/>
    <col min="10" max="11" width="10.765625" style="4" bestFit="1" customWidth="1"/>
    <col min="12" max="16384" width="8.84375" style="4"/>
  </cols>
  <sheetData>
    <row r="1" spans="1:9" ht="26.25" customHeight="1">
      <c r="A1" s="1" t="s">
        <v>26</v>
      </c>
      <c r="D1" s="2"/>
      <c r="E1" s="2"/>
      <c r="F1" s="2"/>
      <c r="G1" s="2"/>
      <c r="H1" s="4"/>
    </row>
    <row r="2" spans="1:9" ht="26.25" customHeight="1">
      <c r="A2" s="37" t="s">
        <v>0</v>
      </c>
      <c r="B2" s="37" t="s">
        <v>4</v>
      </c>
      <c r="C2" s="47" t="s">
        <v>10</v>
      </c>
      <c r="D2" s="5" t="s">
        <v>15</v>
      </c>
      <c r="E2" s="44" t="s">
        <v>16</v>
      </c>
      <c r="F2" s="45"/>
      <c r="G2" s="46"/>
      <c r="H2" s="37" t="s">
        <v>1</v>
      </c>
      <c r="I2" s="37" t="s">
        <v>2</v>
      </c>
    </row>
    <row r="3" spans="1:9" ht="26.25" customHeight="1">
      <c r="A3" s="38"/>
      <c r="B3" s="38"/>
      <c r="C3" s="48"/>
      <c r="D3" s="5" t="s">
        <v>11</v>
      </c>
      <c r="E3" s="6" t="s">
        <v>12</v>
      </c>
      <c r="F3" s="6" t="s">
        <v>14</v>
      </c>
      <c r="G3" s="7" t="s">
        <v>13</v>
      </c>
      <c r="H3" s="38"/>
      <c r="I3" s="38"/>
    </row>
    <row r="4" spans="1:9" ht="26.25" customHeight="1">
      <c r="A4" s="8">
        <v>1</v>
      </c>
      <c r="B4" s="23" t="s">
        <v>18</v>
      </c>
      <c r="C4" s="9"/>
      <c r="D4" s="10"/>
      <c r="E4" s="11"/>
      <c r="F4" s="10"/>
      <c r="G4" s="10"/>
      <c r="H4" s="12"/>
      <c r="I4" s="13"/>
    </row>
    <row r="5" spans="1:9" ht="26.25" customHeight="1">
      <c r="A5" s="8">
        <v>2</v>
      </c>
      <c r="B5" s="23" t="s">
        <v>9</v>
      </c>
      <c r="C5" s="9">
        <v>43270805</v>
      </c>
      <c r="D5" s="10"/>
      <c r="E5" s="14"/>
      <c r="F5" s="10">
        <v>7271566</v>
      </c>
      <c r="G5" s="10">
        <v>1427937</v>
      </c>
      <c r="H5" s="25" t="s">
        <v>27</v>
      </c>
      <c r="I5" s="13"/>
    </row>
    <row r="6" spans="1:9" ht="26.25" customHeight="1">
      <c r="A6" s="8">
        <v>3</v>
      </c>
      <c r="B6" s="23" t="s">
        <v>20</v>
      </c>
      <c r="C6" s="9">
        <v>9966384</v>
      </c>
      <c r="D6" s="10"/>
      <c r="E6" s="14"/>
      <c r="F6" s="10">
        <v>5000000</v>
      </c>
      <c r="G6" s="10"/>
      <c r="H6" s="12"/>
      <c r="I6" s="13"/>
    </row>
    <row r="7" spans="1:9" ht="26.25" customHeight="1">
      <c r="A7" s="8">
        <v>4</v>
      </c>
      <c r="B7" s="23" t="s">
        <v>21</v>
      </c>
      <c r="C7" s="9">
        <v>4336366</v>
      </c>
      <c r="D7" s="10"/>
      <c r="E7" s="14"/>
      <c r="F7" s="10"/>
      <c r="G7" s="10">
        <v>1084092</v>
      </c>
      <c r="H7" s="12"/>
      <c r="I7" s="13"/>
    </row>
    <row r="8" spans="1:9" ht="26.25" customHeight="1">
      <c r="A8" s="8">
        <v>5</v>
      </c>
      <c r="B8" s="23" t="s">
        <v>5</v>
      </c>
      <c r="C8" s="9">
        <v>8112378</v>
      </c>
      <c r="D8" s="10"/>
      <c r="E8" s="14"/>
      <c r="F8" s="10"/>
      <c r="G8" s="10">
        <v>2839332</v>
      </c>
      <c r="H8" s="12"/>
      <c r="I8" s="13"/>
    </row>
    <row r="9" spans="1:9" s="21" customFormat="1" ht="26.25" customHeight="1">
      <c r="A9" s="15">
        <v>6</v>
      </c>
      <c r="B9" s="23" t="s">
        <v>6</v>
      </c>
      <c r="C9" s="16">
        <v>6607419</v>
      </c>
      <c r="D9" s="17"/>
      <c r="E9" s="18"/>
      <c r="F9" s="17"/>
      <c r="G9" s="17">
        <v>1057187</v>
      </c>
      <c r="H9" s="19"/>
      <c r="I9" s="20"/>
    </row>
    <row r="10" spans="1:9" ht="26.25" customHeight="1">
      <c r="A10" s="8">
        <v>7</v>
      </c>
      <c r="B10" s="23" t="s">
        <v>8</v>
      </c>
      <c r="C10" s="9">
        <v>4668010</v>
      </c>
      <c r="D10" s="10"/>
      <c r="E10" s="14"/>
      <c r="F10" s="10"/>
      <c r="G10" s="10">
        <v>1167003</v>
      </c>
      <c r="H10" s="25"/>
      <c r="I10" s="13"/>
    </row>
    <row r="11" spans="1:9" ht="26.25" customHeight="1">
      <c r="A11" s="8">
        <v>8</v>
      </c>
      <c r="B11" s="23" t="s">
        <v>7</v>
      </c>
      <c r="C11" s="9">
        <v>97364</v>
      </c>
      <c r="D11" s="10"/>
      <c r="E11" s="14"/>
      <c r="F11" s="10"/>
      <c r="G11" s="10">
        <v>10710</v>
      </c>
      <c r="H11" s="12"/>
      <c r="I11" s="13"/>
    </row>
    <row r="12" spans="1:9" ht="26.25" customHeight="1">
      <c r="A12" s="8">
        <v>9</v>
      </c>
      <c r="B12" s="23" t="s">
        <v>22</v>
      </c>
      <c r="C12" s="9">
        <v>107179020</v>
      </c>
      <c r="D12" s="10"/>
      <c r="E12" s="14"/>
      <c r="F12" s="10"/>
      <c r="G12" s="10"/>
      <c r="H12" s="12"/>
      <c r="I12" s="13"/>
    </row>
    <row r="13" spans="1:9" ht="26.25" customHeight="1">
      <c r="A13" s="8">
        <v>10</v>
      </c>
      <c r="B13" s="23" t="s">
        <v>19</v>
      </c>
      <c r="C13" s="9"/>
      <c r="D13" s="10"/>
      <c r="E13" s="14"/>
      <c r="F13" s="10"/>
      <c r="G13" s="10"/>
      <c r="H13" s="22"/>
      <c r="I13" s="13"/>
    </row>
    <row r="14" spans="1:9" ht="26.25" customHeight="1">
      <c r="A14" s="8">
        <v>11</v>
      </c>
      <c r="B14" s="23" t="s">
        <v>23</v>
      </c>
      <c r="C14" s="9"/>
      <c r="D14" s="10"/>
      <c r="E14" s="14"/>
      <c r="F14" s="10"/>
      <c r="G14" s="10"/>
      <c r="H14" s="12"/>
      <c r="I14" s="13"/>
    </row>
    <row r="15" spans="1:9" ht="26.25" customHeight="1">
      <c r="A15" s="8">
        <v>12</v>
      </c>
      <c r="B15" s="23"/>
      <c r="C15" s="9"/>
      <c r="D15" s="10"/>
      <c r="E15" s="14"/>
      <c r="F15" s="10"/>
      <c r="G15" s="10"/>
      <c r="H15" s="12"/>
      <c r="I15" s="13"/>
    </row>
    <row r="16" spans="1:9" ht="26.25" customHeight="1">
      <c r="A16" s="8">
        <v>13</v>
      </c>
      <c r="B16" s="23"/>
      <c r="C16" s="9"/>
      <c r="D16" s="10"/>
      <c r="E16" s="14"/>
      <c r="F16" s="10"/>
      <c r="G16" s="10"/>
      <c r="H16" s="12"/>
      <c r="I16" s="13"/>
    </row>
    <row r="17" spans="1:9" ht="26.25" customHeight="1">
      <c r="A17" s="8">
        <v>14</v>
      </c>
      <c r="B17" s="23"/>
      <c r="C17" s="9"/>
      <c r="D17" s="10"/>
      <c r="E17" s="14"/>
      <c r="F17" s="10"/>
      <c r="G17" s="10"/>
      <c r="H17" s="12"/>
      <c r="I17" s="13"/>
    </row>
    <row r="18" spans="1:9" ht="26.25" customHeight="1">
      <c r="A18" s="8">
        <v>15</v>
      </c>
      <c r="B18" s="23"/>
      <c r="C18" s="9"/>
      <c r="D18" s="10"/>
      <c r="E18" s="14"/>
      <c r="F18" s="10"/>
      <c r="G18" s="10"/>
      <c r="H18" s="12"/>
      <c r="I18" s="13"/>
    </row>
    <row r="19" spans="1:9" ht="26.25" customHeight="1">
      <c r="A19" s="8">
        <v>16</v>
      </c>
      <c r="B19" s="24"/>
      <c r="C19" s="9"/>
      <c r="D19" s="10"/>
      <c r="E19" s="14"/>
      <c r="F19" s="10"/>
      <c r="G19" s="10"/>
      <c r="H19" s="12"/>
      <c r="I19" s="13"/>
    </row>
    <row r="20" spans="1:9" ht="26.25" customHeight="1">
      <c r="A20" s="8">
        <v>17</v>
      </c>
      <c r="B20" s="8"/>
      <c r="C20" s="9"/>
      <c r="D20" s="10"/>
      <c r="E20" s="14"/>
      <c r="F20" s="10"/>
      <c r="G20" s="10"/>
      <c r="H20" s="12"/>
      <c r="I20" s="13"/>
    </row>
    <row r="21" spans="1:9" ht="26.25" customHeight="1">
      <c r="A21" s="8">
        <v>18</v>
      </c>
      <c r="B21" s="8"/>
      <c r="C21" s="9"/>
      <c r="D21" s="10"/>
      <c r="E21" s="14"/>
      <c r="F21" s="10"/>
      <c r="G21" s="10"/>
      <c r="H21" s="12"/>
      <c r="I21" s="13"/>
    </row>
    <row r="22" spans="1:9" ht="26.25" customHeight="1">
      <c r="A22" s="8">
        <v>19</v>
      </c>
      <c r="B22" s="8"/>
      <c r="C22" s="9"/>
      <c r="D22" s="10"/>
      <c r="E22" s="14"/>
      <c r="F22" s="10"/>
      <c r="G22" s="10"/>
      <c r="H22" s="12"/>
      <c r="I22" s="13"/>
    </row>
    <row r="23" spans="1:9" ht="26.25" customHeight="1">
      <c r="A23" s="8">
        <v>20</v>
      </c>
      <c r="B23" s="8"/>
      <c r="C23" s="9"/>
      <c r="D23" s="10"/>
      <c r="E23" s="14"/>
      <c r="F23" s="10"/>
      <c r="G23" s="10"/>
      <c r="H23" s="22"/>
      <c r="I23" s="13"/>
    </row>
    <row r="24" spans="1:9" ht="26.25" customHeight="1">
      <c r="A24" s="8">
        <v>21</v>
      </c>
      <c r="B24" s="8"/>
      <c r="C24" s="9"/>
      <c r="D24" s="10"/>
      <c r="E24" s="14"/>
      <c r="F24" s="10"/>
      <c r="G24" s="10"/>
      <c r="H24" s="12"/>
      <c r="I24" s="13"/>
    </row>
    <row r="25" spans="1:9" ht="26.25" customHeight="1">
      <c r="A25" s="39" t="s">
        <v>3</v>
      </c>
      <c r="B25" s="39"/>
      <c r="C25" s="5">
        <f>SUM(C4:C24)</f>
        <v>184237746</v>
      </c>
      <c r="D25" s="5">
        <f>SUM(D4:D24)</f>
        <v>0</v>
      </c>
      <c r="E25" s="5"/>
      <c r="F25" s="5"/>
      <c r="G25" s="5"/>
      <c r="H25" s="8"/>
      <c r="I25" s="8"/>
    </row>
    <row r="26" spans="1:9" s="2" customFormat="1" ht="26.25" customHeight="1">
      <c r="C26" s="3"/>
      <c r="D26" s="3"/>
      <c r="E26" s="3"/>
      <c r="F26" s="3"/>
      <c r="G26" s="3"/>
      <c r="I26" s="4"/>
    </row>
    <row r="27" spans="1:9" s="2" customFormat="1" ht="26.25" customHeight="1">
      <c r="C27" s="3"/>
      <c r="D27" s="3"/>
      <c r="E27" s="3"/>
      <c r="F27" s="3"/>
      <c r="G27" s="3"/>
      <c r="I27" s="4"/>
    </row>
  </sheetData>
  <mergeCells count="7">
    <mergeCell ref="H2:H3"/>
    <mergeCell ref="I2:I3"/>
    <mergeCell ref="A25:B25"/>
    <mergeCell ref="A2:A3"/>
    <mergeCell ref="B2:B3"/>
    <mergeCell ref="C2:C3"/>
    <mergeCell ref="E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0AA64-6474-4696-A594-CF58973E1CDB}">
  <sheetPr>
    <pageSetUpPr fitToPage="1"/>
  </sheetPr>
  <dimension ref="A1:I27"/>
  <sheetViews>
    <sheetView tabSelected="1" view="pageBreakPreview" zoomScaleNormal="100" zoomScaleSheetLayoutView="100" workbookViewId="0">
      <selection activeCell="D9" sqref="D9"/>
    </sheetView>
  </sheetViews>
  <sheetFormatPr defaultColWidth="8.84375" defaultRowHeight="26.25" customHeight="1"/>
  <cols>
    <col min="1" max="1" width="5.69140625" style="2" customWidth="1"/>
    <col min="2" max="2" width="20.07421875" style="2" customWidth="1"/>
    <col min="3" max="3" width="22.69140625" style="3" customWidth="1"/>
    <col min="4" max="4" width="27" style="3" customWidth="1"/>
    <col min="5" max="6" width="13.84375" style="3" customWidth="1"/>
    <col min="7" max="7" width="12.84375" style="3" customWidth="1"/>
    <col min="8" max="8" width="26.3046875" style="2" customWidth="1"/>
    <col min="9" max="9" width="42.69140625" style="4" customWidth="1"/>
    <col min="10" max="11" width="10.765625" style="4" bestFit="1" customWidth="1"/>
    <col min="12" max="16384" width="8.84375" style="4"/>
  </cols>
  <sheetData>
    <row r="1" spans="1:9" ht="26.25" customHeight="1">
      <c r="A1" s="1" t="s">
        <v>28</v>
      </c>
      <c r="D1" s="2"/>
      <c r="E1" s="2"/>
      <c r="F1" s="2"/>
      <c r="G1" s="2"/>
      <c r="H1" s="4"/>
    </row>
    <row r="2" spans="1:9" ht="26.25" customHeight="1">
      <c r="A2" s="37" t="s">
        <v>0</v>
      </c>
      <c r="B2" s="37" t="s">
        <v>4</v>
      </c>
      <c r="C2" s="47" t="s">
        <v>10</v>
      </c>
      <c r="D2" s="5" t="s">
        <v>15</v>
      </c>
      <c r="E2" s="44" t="s">
        <v>16</v>
      </c>
      <c r="F2" s="45"/>
      <c r="G2" s="46"/>
      <c r="H2" s="37" t="s">
        <v>1</v>
      </c>
      <c r="I2" s="37" t="s">
        <v>2</v>
      </c>
    </row>
    <row r="3" spans="1:9" ht="26.25" customHeight="1">
      <c r="A3" s="38"/>
      <c r="B3" s="38"/>
      <c r="C3" s="48"/>
      <c r="D3" s="5" t="s">
        <v>11</v>
      </c>
      <c r="E3" s="6" t="s">
        <v>12</v>
      </c>
      <c r="F3" s="6" t="s">
        <v>14</v>
      </c>
      <c r="G3" s="7" t="s">
        <v>13</v>
      </c>
      <c r="H3" s="38"/>
      <c r="I3" s="38"/>
    </row>
    <row r="4" spans="1:9" ht="26.25" customHeight="1">
      <c r="A4" s="8">
        <v>1</v>
      </c>
      <c r="B4" s="23" t="s">
        <v>18</v>
      </c>
      <c r="C4" s="9"/>
      <c r="D4" s="10"/>
      <c r="E4" s="11"/>
      <c r="F4" s="10"/>
      <c r="G4" s="10"/>
      <c r="H4" s="12"/>
      <c r="I4" s="13"/>
    </row>
    <row r="5" spans="1:9" ht="26.25" customHeight="1">
      <c r="A5" s="8">
        <v>2</v>
      </c>
      <c r="B5" s="23" t="s">
        <v>9</v>
      </c>
      <c r="C5" s="9">
        <v>68336995</v>
      </c>
      <c r="D5" s="10"/>
      <c r="E5" s="14"/>
      <c r="F5" s="10">
        <v>11365401</v>
      </c>
      <c r="G5" s="10">
        <v>2255121</v>
      </c>
      <c r="H5" s="25" t="s">
        <v>25</v>
      </c>
      <c r="I5" s="13"/>
    </row>
    <row r="6" spans="1:9" ht="26.25" customHeight="1">
      <c r="A6" s="8">
        <v>3</v>
      </c>
      <c r="B6" s="23" t="s">
        <v>20</v>
      </c>
      <c r="C6" s="9">
        <v>15956994</v>
      </c>
      <c r="D6" s="10"/>
      <c r="E6" s="14"/>
      <c r="F6" s="10"/>
      <c r="G6" s="10"/>
      <c r="H6" s="12"/>
      <c r="I6" s="13"/>
    </row>
    <row r="7" spans="1:9" ht="26.25" customHeight="1">
      <c r="A7" s="8">
        <v>4</v>
      </c>
      <c r="B7" s="23" t="s">
        <v>21</v>
      </c>
      <c r="C7" s="9">
        <v>9155416</v>
      </c>
      <c r="D7" s="10"/>
      <c r="E7" s="14"/>
      <c r="F7" s="10"/>
      <c r="G7" s="10">
        <v>2288854</v>
      </c>
      <c r="H7" s="12"/>
      <c r="I7" s="13"/>
    </row>
    <row r="8" spans="1:9" ht="26.25" customHeight="1">
      <c r="A8" s="8">
        <v>5</v>
      </c>
      <c r="B8" s="23" t="s">
        <v>5</v>
      </c>
      <c r="C8" s="9">
        <v>13536822</v>
      </c>
      <c r="D8" s="10"/>
      <c r="E8" s="14"/>
      <c r="F8" s="10"/>
      <c r="G8" s="10">
        <v>4737888</v>
      </c>
      <c r="H8" s="12"/>
      <c r="I8" s="13"/>
    </row>
    <row r="9" spans="1:9" s="21" customFormat="1" ht="26.25" customHeight="1">
      <c r="A9" s="15">
        <v>6</v>
      </c>
      <c r="B9" s="23" t="s">
        <v>6</v>
      </c>
      <c r="C9" s="16">
        <v>22961008</v>
      </c>
      <c r="D9" s="17"/>
      <c r="E9" s="18"/>
      <c r="F9" s="17"/>
      <c r="G9" s="17">
        <v>3673761</v>
      </c>
      <c r="H9" s="19"/>
      <c r="I9" s="20"/>
    </row>
    <row r="10" spans="1:9" ht="26.25" customHeight="1">
      <c r="A10" s="8">
        <v>7</v>
      </c>
      <c r="B10" s="23" t="s">
        <v>8</v>
      </c>
      <c r="C10" s="9">
        <v>6703949</v>
      </c>
      <c r="D10" s="10"/>
      <c r="E10" s="14"/>
      <c r="F10" s="10"/>
      <c r="G10" s="10">
        <v>1675987</v>
      </c>
      <c r="H10" s="25"/>
      <c r="I10" s="13"/>
    </row>
    <row r="11" spans="1:9" ht="26.25" customHeight="1">
      <c r="A11" s="8">
        <v>8</v>
      </c>
      <c r="B11" s="23" t="s">
        <v>7</v>
      </c>
      <c r="C11" s="9">
        <v>97364</v>
      </c>
      <c r="D11" s="10"/>
      <c r="E11" s="14"/>
      <c r="F11" s="10"/>
      <c r="G11" s="10">
        <v>10710</v>
      </c>
      <c r="H11" s="12"/>
      <c r="I11" s="13"/>
    </row>
    <row r="12" spans="1:9" ht="26.25" customHeight="1">
      <c r="A12" s="8">
        <v>9</v>
      </c>
      <c r="B12" s="23" t="s">
        <v>22</v>
      </c>
      <c r="C12" s="9">
        <v>160402300</v>
      </c>
      <c r="D12" s="10"/>
      <c r="E12" s="14"/>
      <c r="F12" s="10"/>
      <c r="G12" s="10"/>
      <c r="H12" s="12"/>
      <c r="I12" s="13"/>
    </row>
    <row r="13" spans="1:9" ht="26.25" customHeight="1">
      <c r="A13" s="8">
        <v>10</v>
      </c>
      <c r="B13" s="23" t="s">
        <v>19</v>
      </c>
      <c r="C13" s="9"/>
      <c r="D13" s="10"/>
      <c r="E13" s="14"/>
      <c r="F13" s="10"/>
      <c r="G13" s="10"/>
      <c r="H13" s="22"/>
      <c r="I13" s="13"/>
    </row>
    <row r="14" spans="1:9" ht="26.25" customHeight="1">
      <c r="A14" s="8">
        <v>11</v>
      </c>
      <c r="B14" s="23" t="s">
        <v>23</v>
      </c>
      <c r="C14" s="9"/>
      <c r="D14" s="10"/>
      <c r="E14" s="14"/>
      <c r="F14" s="10"/>
      <c r="G14" s="10"/>
      <c r="H14" s="12"/>
      <c r="I14" s="13"/>
    </row>
    <row r="15" spans="1:9" ht="26.25" customHeight="1">
      <c r="A15" s="8">
        <v>12</v>
      </c>
      <c r="B15" s="23"/>
      <c r="C15" s="9"/>
      <c r="D15" s="10"/>
      <c r="E15" s="14"/>
      <c r="F15" s="10"/>
      <c r="G15" s="10"/>
      <c r="H15" s="12"/>
      <c r="I15" s="13"/>
    </row>
    <row r="16" spans="1:9" ht="26.25" customHeight="1">
      <c r="A16" s="8">
        <v>13</v>
      </c>
      <c r="B16" s="23"/>
      <c r="C16" s="9"/>
      <c r="D16" s="10"/>
      <c r="E16" s="14"/>
      <c r="F16" s="10"/>
      <c r="G16" s="10"/>
      <c r="H16" s="12"/>
      <c r="I16" s="13"/>
    </row>
    <row r="17" spans="1:9" ht="26.25" customHeight="1">
      <c r="A17" s="8">
        <v>14</v>
      </c>
      <c r="B17" s="23"/>
      <c r="C17" s="9"/>
      <c r="D17" s="10"/>
      <c r="E17" s="14"/>
      <c r="F17" s="10"/>
      <c r="G17" s="10"/>
      <c r="H17" s="12"/>
      <c r="I17" s="13"/>
    </row>
    <row r="18" spans="1:9" ht="26.25" customHeight="1">
      <c r="A18" s="8">
        <v>15</v>
      </c>
      <c r="B18" s="23"/>
      <c r="C18" s="9"/>
      <c r="D18" s="10"/>
      <c r="E18" s="14"/>
      <c r="F18" s="10"/>
      <c r="G18" s="10"/>
      <c r="H18" s="12"/>
      <c r="I18" s="13"/>
    </row>
    <row r="19" spans="1:9" ht="26.25" customHeight="1">
      <c r="A19" s="8">
        <v>16</v>
      </c>
      <c r="B19" s="24"/>
      <c r="C19" s="9"/>
      <c r="D19" s="10"/>
      <c r="E19" s="14"/>
      <c r="F19" s="10"/>
      <c r="G19" s="10"/>
      <c r="H19" s="12"/>
      <c r="I19" s="13"/>
    </row>
    <row r="20" spans="1:9" ht="26.25" customHeight="1">
      <c r="A20" s="8">
        <v>17</v>
      </c>
      <c r="B20" s="8"/>
      <c r="C20" s="9"/>
      <c r="D20" s="10"/>
      <c r="E20" s="14"/>
      <c r="F20" s="10"/>
      <c r="G20" s="10"/>
      <c r="H20" s="12"/>
      <c r="I20" s="13"/>
    </row>
    <row r="21" spans="1:9" ht="26.25" customHeight="1">
      <c r="A21" s="8">
        <v>18</v>
      </c>
      <c r="B21" s="8"/>
      <c r="C21" s="9"/>
      <c r="D21" s="10"/>
      <c r="E21" s="14"/>
      <c r="F21" s="10"/>
      <c r="G21" s="10"/>
      <c r="H21" s="12"/>
      <c r="I21" s="13"/>
    </row>
    <row r="22" spans="1:9" ht="26.25" customHeight="1">
      <c r="A22" s="8">
        <v>19</v>
      </c>
      <c r="B22" s="8"/>
      <c r="C22" s="9"/>
      <c r="D22" s="10"/>
      <c r="E22" s="14"/>
      <c r="F22" s="10"/>
      <c r="G22" s="10"/>
      <c r="H22" s="12"/>
      <c r="I22" s="13"/>
    </row>
    <row r="23" spans="1:9" ht="26.25" customHeight="1">
      <c r="A23" s="8">
        <v>20</v>
      </c>
      <c r="B23" s="8"/>
      <c r="C23" s="9"/>
      <c r="D23" s="10"/>
      <c r="E23" s="14"/>
      <c r="F23" s="10"/>
      <c r="G23" s="10"/>
      <c r="H23" s="22"/>
      <c r="I23" s="13"/>
    </row>
    <row r="24" spans="1:9" ht="26.25" customHeight="1">
      <c r="A24" s="8">
        <v>21</v>
      </c>
      <c r="B24" s="8"/>
      <c r="C24" s="9"/>
      <c r="D24" s="10"/>
      <c r="E24" s="14"/>
      <c r="F24" s="10"/>
      <c r="G24" s="10"/>
      <c r="H24" s="12"/>
      <c r="I24" s="13"/>
    </row>
    <row r="25" spans="1:9" ht="26.25" customHeight="1">
      <c r="A25" s="39" t="s">
        <v>3</v>
      </c>
      <c r="B25" s="39"/>
      <c r="C25" s="5">
        <f>SUM(C4:C24)</f>
        <v>297150848</v>
      </c>
      <c r="D25" s="5">
        <f>SUM(D4:D24)</f>
        <v>0</v>
      </c>
      <c r="E25" s="5"/>
      <c r="F25" s="5"/>
      <c r="G25" s="5"/>
      <c r="H25" s="8"/>
      <c r="I25" s="8"/>
    </row>
    <row r="26" spans="1:9" s="2" customFormat="1" ht="26.25" customHeight="1">
      <c r="C26" s="3"/>
      <c r="D26" s="3"/>
      <c r="E26" s="3"/>
      <c r="F26" s="3"/>
      <c r="G26" s="3"/>
      <c r="I26" s="4"/>
    </row>
    <row r="27" spans="1:9" s="2" customFormat="1" ht="26.25" customHeight="1">
      <c r="C27" s="3"/>
      <c r="D27" s="3"/>
      <c r="E27" s="3"/>
      <c r="F27" s="3"/>
      <c r="G27" s="3"/>
      <c r="I27" s="4"/>
    </row>
  </sheetData>
  <mergeCells count="7">
    <mergeCell ref="H2:H3"/>
    <mergeCell ref="I2:I3"/>
    <mergeCell ref="A25:B25"/>
    <mergeCell ref="A2:A3"/>
    <mergeCell ref="B2:B3"/>
    <mergeCell ref="C2:C3"/>
    <mergeCell ref="E2:G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2월</vt:lpstr>
      <vt:lpstr>3월</vt:lpstr>
      <vt:lpstr>4월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MinHye Chi</dc:creator>
  <cp:lastModifiedBy>신 홍주</cp:lastModifiedBy>
  <dcterms:created xsi:type="dcterms:W3CDTF">2025-08-26T07:26:08Z</dcterms:created>
  <dcterms:modified xsi:type="dcterms:W3CDTF">2026-02-03T09:19:42Z</dcterms:modified>
</cp:coreProperties>
</file>